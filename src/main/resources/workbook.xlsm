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hidePivotFieldList="1" defaultThemeVersion="153222"/>
  <mc:AlternateContent xmlns:mc="http://schemas.openxmlformats.org/markup-compatibility/2006">
    <mc:Choice Requires="x15">
      <x15ac:absPath xmlns:x15ac="http://schemas.microsoft.com/office/spreadsheetml/2010/11/ac" url="C:\Users\hnd1hc\Desktop\"/>
    </mc:Choice>
  </mc:AlternateContent>
  <bookViews>
    <workbookView xWindow="0" yWindow="0" windowWidth="18945" windowHeight="5910" tabRatio="594" activeTab="1"/>
  </bookViews>
  <sheets>
    <sheet name="MFC" sheetId="5" r:id="rId1"/>
    <sheet name="RBJP" sheetId="12" r:id="rId2"/>
    <sheet name="On-time graph" sheetId="14" state="hidden" r:id="rId3"/>
  </sheets>
  <definedNames>
    <definedName name="_xlnm._FilterDatabase" localSheetId="0" hidden="1">MFC!$A$3:$AX$111</definedName>
    <definedName name="_xlnm._FilterDatabase" localSheetId="1" hidden="1">RBJP!$A$3:$BL$111</definedName>
    <definedName name="Format_Milestone">MFC!$L$4:$Y$154</definedName>
    <definedName name="Format_Nr">MFC!$C$4:$D$154</definedName>
    <definedName name="_xlnm.Print_Area" localSheetId="0">MFC!$A:$AT</definedName>
    <definedName name="_xlnm.Print_Area" localSheetId="1">RBJP!$G$2:$BL$60</definedName>
    <definedName name="_xlnm.Print_Titles" localSheetId="0">MFC!$C:$C</definedName>
    <definedName name="_xlnm.Print_Titles" localSheetId="1">RBJP!$G:$G</definedName>
    <definedName name="Z_6F2D4CBE_F5EE_4D4C_B493_385FC7957A66_.wvu.Cols" localSheetId="0" hidden="1">MFC!$A:$B,MFC!$J:$K,MFC!$T:$T,MFC!$AA:$AR</definedName>
    <definedName name="Z_6F2D4CBE_F5EE_4D4C_B493_385FC7957A66_.wvu.FilterData" localSheetId="0" hidden="1">MFC!$A$3:$AX$111</definedName>
    <definedName name="Z_6F2D4CBE_F5EE_4D4C_B493_385FC7957A66_.wvu.FilterData" localSheetId="1" hidden="1">RBJP!$A$3:$BL$111</definedName>
    <definedName name="Z_6F2D4CBE_F5EE_4D4C_B493_385FC7957A66_.wvu.PrintArea" localSheetId="0" hidden="1">MFC!$A:$AT</definedName>
    <definedName name="Z_6F2D4CBE_F5EE_4D4C_B493_385FC7957A66_.wvu.PrintArea" localSheetId="1" hidden="1">RBJP!$G$2:$BL$60</definedName>
    <definedName name="Z_6F2D4CBE_F5EE_4D4C_B493_385FC7957A66_.wvu.PrintTitles" localSheetId="0" hidden="1">MFC!$C:$C</definedName>
    <definedName name="Z_6F2D4CBE_F5EE_4D4C_B493_385FC7957A66_.wvu.PrintTitles" localSheetId="1" hidden="1">RBJP!$G:$G</definedName>
  </definedNames>
  <calcPr calcId="152511"/>
  <customWorkbookViews>
    <customWorkbookView name="SlpP Biweekly" guid="{6F2D4CBE-F5EE-4D4C-B493-385FC7957A66}" maximized="1" xWindow="-8" yWindow="-8" windowWidth="1696" windowHeight="1026" tabRatio="594" activeSheetId="5"/>
  </customWorkbookViews>
  <pivotCaches>
    <pivotCache cacheId="0"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71" i="5" l="1"/>
  <c r="M72" i="5"/>
  <c r="M73" i="5"/>
  <c r="M74" i="5"/>
  <c r="M75" i="5"/>
  <c r="M76" i="5"/>
  <c r="M77" i="5"/>
  <c r="M78" i="5"/>
  <c r="M79" i="5"/>
  <c r="M80" i="5"/>
  <c r="M81" i="5"/>
  <c r="M82" i="5"/>
  <c r="M83" i="5"/>
  <c r="T50" i="5" l="1"/>
  <c r="S50" i="5"/>
  <c r="S51" i="5"/>
  <c r="O50" i="5"/>
  <c r="N50" i="5"/>
  <c r="M50" i="5"/>
  <c r="S83" i="5"/>
  <c r="T83" i="5"/>
  <c r="N83" i="5"/>
  <c r="O83" i="5"/>
  <c r="BL83" i="12" l="1"/>
  <c r="BK83" i="12"/>
  <c r="BJ83" i="12"/>
  <c r="BI83" i="12"/>
  <c r="BG83" i="12"/>
  <c r="AS83" i="12"/>
  <c r="AR83" i="12"/>
  <c r="P83" i="12"/>
  <c r="O83" i="12"/>
  <c r="N83" i="12"/>
  <c r="M83" i="12"/>
  <c r="L83" i="12"/>
  <c r="K83" i="12"/>
  <c r="I83" i="12"/>
  <c r="H83" i="12"/>
  <c r="G83" i="12"/>
  <c r="F83" i="12"/>
  <c r="E83" i="12"/>
  <c r="AR83" i="5" l="1"/>
  <c r="AQ83" i="5"/>
  <c r="AP83" i="5"/>
  <c r="AO83" i="5"/>
  <c r="AN83" i="5"/>
  <c r="AM83" i="5"/>
  <c r="AL83" i="5"/>
  <c r="AK83" i="5"/>
  <c r="AJ83" i="5"/>
  <c r="AI83" i="5"/>
  <c r="AH83" i="5"/>
  <c r="AG83" i="5"/>
  <c r="AF83" i="5"/>
  <c r="AE83" i="5"/>
  <c r="AD83" i="5"/>
  <c r="AC83" i="5"/>
  <c r="AB83" i="5"/>
  <c r="AA83" i="5"/>
  <c r="K71" i="12" l="1"/>
  <c r="K75" i="12"/>
  <c r="AR64" i="12"/>
  <c r="AL30" i="5" l="1"/>
  <c r="BK12" i="12" l="1"/>
  <c r="N82" i="5" l="1"/>
  <c r="O82" i="5"/>
  <c r="S82" i="5"/>
  <c r="T82" i="5"/>
  <c r="E82" i="12"/>
  <c r="F82" i="12"/>
  <c r="G82" i="12"/>
  <c r="H82" i="12"/>
  <c r="I82" i="12"/>
  <c r="K82" i="12"/>
  <c r="L82" i="12"/>
  <c r="M82" i="12"/>
  <c r="N82" i="12"/>
  <c r="O82" i="12"/>
  <c r="P82" i="12"/>
  <c r="AR82" i="12"/>
  <c r="AS82" i="12"/>
  <c r="BG82" i="12"/>
  <c r="BI82" i="12"/>
  <c r="BJ82" i="12"/>
  <c r="BK82" i="12"/>
  <c r="BL82" i="12"/>
  <c r="AA82" i="5"/>
  <c r="AB82" i="5"/>
  <c r="AC82" i="5"/>
  <c r="AD82" i="5"/>
  <c r="AE82" i="5"/>
  <c r="AF82" i="5"/>
  <c r="AG82" i="5"/>
  <c r="AH82" i="5"/>
  <c r="AI82" i="5"/>
  <c r="AJ82" i="5"/>
  <c r="AK82" i="5"/>
  <c r="AL82" i="5"/>
  <c r="AM82" i="5"/>
  <c r="AN82" i="5"/>
  <c r="AO82" i="5"/>
  <c r="AP82" i="5"/>
  <c r="AQ82" i="5"/>
  <c r="AR82" i="5"/>
  <c r="BK18" i="12" l="1"/>
  <c r="N79" i="5" l="1"/>
  <c r="O79" i="5"/>
  <c r="S79" i="5"/>
  <c r="T79" i="5"/>
  <c r="AA79" i="5"/>
  <c r="AB79" i="5"/>
  <c r="AC79" i="5"/>
  <c r="AD79" i="5"/>
  <c r="AE79" i="5"/>
  <c r="AF79" i="5"/>
  <c r="AG79" i="5"/>
  <c r="AH79" i="5"/>
  <c r="AI79" i="5"/>
  <c r="AJ79" i="5"/>
  <c r="AK79" i="5"/>
  <c r="AL79" i="5"/>
  <c r="AM79" i="5"/>
  <c r="AN79" i="5"/>
  <c r="AO79" i="5"/>
  <c r="AP79" i="5"/>
  <c r="AQ79" i="5"/>
  <c r="AR79" i="5"/>
  <c r="N80" i="5"/>
  <c r="O80" i="5"/>
  <c r="S80" i="5"/>
  <c r="T80" i="5"/>
  <c r="AA80" i="5"/>
  <c r="AB80" i="5"/>
  <c r="AC80" i="5"/>
  <c r="AD80" i="5"/>
  <c r="AE80" i="5"/>
  <c r="AF80" i="5"/>
  <c r="AG80" i="5"/>
  <c r="AH80" i="5"/>
  <c r="AI80" i="5"/>
  <c r="AJ80" i="5"/>
  <c r="AK80" i="5"/>
  <c r="AL80" i="5"/>
  <c r="AM80" i="5"/>
  <c r="AN80" i="5"/>
  <c r="AO80" i="5"/>
  <c r="AP80" i="5"/>
  <c r="AQ80" i="5"/>
  <c r="AR80" i="5"/>
  <c r="N81" i="5"/>
  <c r="O81" i="5"/>
  <c r="S81" i="5"/>
  <c r="T81" i="5"/>
  <c r="AA81" i="5"/>
  <c r="AB81" i="5"/>
  <c r="AC81" i="5"/>
  <c r="AD81" i="5"/>
  <c r="AE81" i="5"/>
  <c r="AF81" i="5"/>
  <c r="AG81" i="5"/>
  <c r="AH81" i="5"/>
  <c r="AI81" i="5"/>
  <c r="AJ81" i="5"/>
  <c r="AK81" i="5"/>
  <c r="AL81" i="5"/>
  <c r="AM81" i="5"/>
  <c r="AN81" i="5"/>
  <c r="AO81" i="5"/>
  <c r="AP81" i="5"/>
  <c r="AQ81" i="5"/>
  <c r="AR81" i="5"/>
  <c r="E79" i="12" l="1"/>
  <c r="F79" i="12"/>
  <c r="G79" i="12"/>
  <c r="H79" i="12"/>
  <c r="I79" i="12"/>
  <c r="K79" i="12"/>
  <c r="L79" i="12"/>
  <c r="M79" i="12"/>
  <c r="N79" i="12"/>
  <c r="O79" i="12"/>
  <c r="P79" i="12"/>
  <c r="AR79" i="12"/>
  <c r="AS79" i="12"/>
  <c r="BG79" i="12"/>
  <c r="BI79" i="12"/>
  <c r="BJ79" i="12"/>
  <c r="BK79" i="12"/>
  <c r="BL79" i="12"/>
  <c r="E80" i="12"/>
  <c r="F80" i="12"/>
  <c r="G80" i="12"/>
  <c r="H80" i="12"/>
  <c r="I80" i="12"/>
  <c r="K80" i="12"/>
  <c r="L80" i="12"/>
  <c r="M80" i="12"/>
  <c r="N80" i="12"/>
  <c r="O80" i="12"/>
  <c r="P80" i="12"/>
  <c r="AR80" i="12"/>
  <c r="AS80" i="12"/>
  <c r="BG80" i="12"/>
  <c r="BI80" i="12"/>
  <c r="BJ80" i="12"/>
  <c r="BK80" i="12"/>
  <c r="BL80" i="12"/>
  <c r="E81" i="12"/>
  <c r="F81" i="12"/>
  <c r="G81" i="12"/>
  <c r="H81" i="12"/>
  <c r="I81" i="12"/>
  <c r="K81" i="12"/>
  <c r="L81" i="12"/>
  <c r="M81" i="12"/>
  <c r="N81" i="12"/>
  <c r="O81" i="12"/>
  <c r="P81" i="12"/>
  <c r="AR81" i="12"/>
  <c r="AS81" i="12"/>
  <c r="BG81" i="12"/>
  <c r="BI81" i="12"/>
  <c r="BJ81" i="12"/>
  <c r="BK81" i="12"/>
  <c r="BL81" i="12"/>
  <c r="N73" i="5" l="1"/>
  <c r="O73" i="5"/>
  <c r="S73" i="5"/>
  <c r="T73" i="5"/>
  <c r="AA73" i="5"/>
  <c r="AB73" i="5"/>
  <c r="AC73" i="5"/>
  <c r="AD73" i="5"/>
  <c r="AE73" i="5"/>
  <c r="AF73" i="5"/>
  <c r="AG73" i="5"/>
  <c r="AH73" i="5"/>
  <c r="AI73" i="5"/>
  <c r="AJ73" i="5"/>
  <c r="AK73" i="5"/>
  <c r="AL73" i="5"/>
  <c r="AM73" i="5"/>
  <c r="AN73" i="5"/>
  <c r="AO73" i="5"/>
  <c r="AP73" i="5"/>
  <c r="AQ73" i="5"/>
  <c r="AR73" i="5"/>
  <c r="N74" i="5"/>
  <c r="O74" i="5"/>
  <c r="S74" i="5"/>
  <c r="T74" i="5"/>
  <c r="AA74" i="5"/>
  <c r="AB74" i="5"/>
  <c r="AC74" i="5"/>
  <c r="AD74" i="5"/>
  <c r="AE74" i="5"/>
  <c r="AF74" i="5"/>
  <c r="AG74" i="5"/>
  <c r="AH74" i="5"/>
  <c r="AI74" i="5"/>
  <c r="AJ74" i="5"/>
  <c r="AK74" i="5"/>
  <c r="AL74" i="5"/>
  <c r="AM74" i="5"/>
  <c r="AN74" i="5"/>
  <c r="AO74" i="5"/>
  <c r="AP74" i="5"/>
  <c r="AQ74" i="5"/>
  <c r="AR74" i="5"/>
  <c r="N75" i="5"/>
  <c r="O75" i="5"/>
  <c r="S75" i="5"/>
  <c r="T75" i="5"/>
  <c r="AA75" i="5"/>
  <c r="AB75" i="5"/>
  <c r="AC75" i="5"/>
  <c r="AD75" i="5"/>
  <c r="AE75" i="5"/>
  <c r="AF75" i="5"/>
  <c r="AG75" i="5"/>
  <c r="AH75" i="5"/>
  <c r="AI75" i="5"/>
  <c r="AJ75" i="5"/>
  <c r="AK75" i="5"/>
  <c r="AL75" i="5"/>
  <c r="AM75" i="5"/>
  <c r="AN75" i="5"/>
  <c r="AO75" i="5"/>
  <c r="AP75" i="5"/>
  <c r="AQ75" i="5"/>
  <c r="AR75" i="5"/>
  <c r="N76" i="5"/>
  <c r="O76" i="5"/>
  <c r="S76" i="5"/>
  <c r="T76" i="5"/>
  <c r="AA76" i="5"/>
  <c r="AB76" i="5"/>
  <c r="AC76" i="5"/>
  <c r="AD76" i="5"/>
  <c r="AE76" i="5"/>
  <c r="AF76" i="5"/>
  <c r="AG76" i="5"/>
  <c r="AH76" i="5"/>
  <c r="AI76" i="5"/>
  <c r="AJ76" i="5"/>
  <c r="AK76" i="5"/>
  <c r="AL76" i="5"/>
  <c r="AM76" i="5"/>
  <c r="AN76" i="5"/>
  <c r="AO76" i="5"/>
  <c r="AP76" i="5"/>
  <c r="AQ76" i="5"/>
  <c r="AR76" i="5"/>
  <c r="N77" i="5"/>
  <c r="O77" i="5"/>
  <c r="S77" i="5"/>
  <c r="T77" i="5"/>
  <c r="AA77" i="5"/>
  <c r="AB77" i="5"/>
  <c r="AC77" i="5"/>
  <c r="AD77" i="5"/>
  <c r="AE77" i="5"/>
  <c r="AF77" i="5"/>
  <c r="AG77" i="5"/>
  <c r="AH77" i="5"/>
  <c r="AI77" i="5"/>
  <c r="AJ77" i="5"/>
  <c r="AK77" i="5"/>
  <c r="AL77" i="5"/>
  <c r="AM77" i="5"/>
  <c r="AN77" i="5"/>
  <c r="AO77" i="5"/>
  <c r="AP77" i="5"/>
  <c r="AQ77" i="5"/>
  <c r="AR77" i="5"/>
  <c r="N78" i="5"/>
  <c r="O78" i="5"/>
  <c r="S78" i="5"/>
  <c r="T78" i="5"/>
  <c r="AA78" i="5"/>
  <c r="AB78" i="5"/>
  <c r="AC78" i="5"/>
  <c r="AD78" i="5"/>
  <c r="AE78" i="5"/>
  <c r="AF78" i="5"/>
  <c r="AG78" i="5"/>
  <c r="AH78" i="5"/>
  <c r="AI78" i="5"/>
  <c r="AJ78" i="5"/>
  <c r="AK78" i="5"/>
  <c r="AL78" i="5"/>
  <c r="AM78" i="5"/>
  <c r="AN78" i="5"/>
  <c r="AO78" i="5"/>
  <c r="AP78" i="5"/>
  <c r="AQ78" i="5"/>
  <c r="AR78" i="5"/>
  <c r="E73" i="12"/>
  <c r="F73" i="12"/>
  <c r="G73" i="12"/>
  <c r="H73" i="12"/>
  <c r="I73" i="12"/>
  <c r="K73" i="12"/>
  <c r="L73" i="12"/>
  <c r="M73" i="12"/>
  <c r="N73" i="12"/>
  <c r="O73" i="12"/>
  <c r="P73" i="12"/>
  <c r="AR73" i="12"/>
  <c r="AS73" i="12"/>
  <c r="BG73" i="12"/>
  <c r="BI73" i="12"/>
  <c r="BJ73" i="12"/>
  <c r="BK73" i="12"/>
  <c r="BL73" i="12"/>
  <c r="E74" i="12"/>
  <c r="F74" i="12"/>
  <c r="G74" i="12"/>
  <c r="H74" i="12"/>
  <c r="I74" i="12"/>
  <c r="K74" i="12"/>
  <c r="L74" i="12"/>
  <c r="M74" i="12"/>
  <c r="N74" i="12"/>
  <c r="O74" i="12"/>
  <c r="P74" i="12"/>
  <c r="AR74" i="12"/>
  <c r="AS74" i="12"/>
  <c r="BG74" i="12"/>
  <c r="BI74" i="12"/>
  <c r="BJ74" i="12"/>
  <c r="BK74" i="12"/>
  <c r="BL74" i="12"/>
  <c r="E75" i="12"/>
  <c r="F75" i="12"/>
  <c r="G75" i="12"/>
  <c r="H75" i="12"/>
  <c r="I75" i="12"/>
  <c r="L75" i="12"/>
  <c r="M75" i="12"/>
  <c r="N75" i="12"/>
  <c r="O75" i="12"/>
  <c r="P75" i="12"/>
  <c r="AR75" i="12"/>
  <c r="AS75" i="12"/>
  <c r="BG75" i="12"/>
  <c r="BI75" i="12"/>
  <c r="BJ75" i="12"/>
  <c r="BK75" i="12"/>
  <c r="BL75" i="12"/>
  <c r="E76" i="12"/>
  <c r="F76" i="12"/>
  <c r="G76" i="12"/>
  <c r="H76" i="12"/>
  <c r="I76" i="12"/>
  <c r="K76" i="12"/>
  <c r="L76" i="12"/>
  <c r="M76" i="12"/>
  <c r="N76" i="12"/>
  <c r="O76" i="12"/>
  <c r="P76" i="12"/>
  <c r="AR76" i="12"/>
  <c r="AS76" i="12"/>
  <c r="BG76" i="12"/>
  <c r="BI76" i="12"/>
  <c r="BJ76" i="12"/>
  <c r="BK76" i="12"/>
  <c r="BL76" i="12"/>
  <c r="E77" i="12"/>
  <c r="F77" i="12"/>
  <c r="G77" i="12"/>
  <c r="H77" i="12"/>
  <c r="I77" i="12"/>
  <c r="K77" i="12"/>
  <c r="L77" i="12"/>
  <c r="M77" i="12"/>
  <c r="N77" i="12"/>
  <c r="O77" i="12"/>
  <c r="P77" i="12"/>
  <c r="AR77" i="12"/>
  <c r="AS77" i="12"/>
  <c r="BG77" i="12"/>
  <c r="BI77" i="12"/>
  <c r="BJ77" i="12"/>
  <c r="BK77" i="12"/>
  <c r="BL77" i="12"/>
  <c r="E78" i="12"/>
  <c r="F78" i="12"/>
  <c r="G78" i="12"/>
  <c r="H78" i="12"/>
  <c r="I78" i="12"/>
  <c r="K78" i="12"/>
  <c r="L78" i="12"/>
  <c r="M78" i="12"/>
  <c r="N78" i="12"/>
  <c r="O78" i="12"/>
  <c r="P78" i="12"/>
  <c r="AR78" i="12"/>
  <c r="AS78" i="12"/>
  <c r="BG78" i="12"/>
  <c r="BI78" i="12"/>
  <c r="BJ78" i="12"/>
  <c r="BK78" i="12"/>
  <c r="BL78" i="12"/>
  <c r="E72" i="12" l="1"/>
  <c r="F72" i="12"/>
  <c r="G72" i="12"/>
  <c r="H72" i="12"/>
  <c r="I72" i="12"/>
  <c r="K72" i="12"/>
  <c r="L72" i="12"/>
  <c r="M72" i="12"/>
  <c r="N72" i="12"/>
  <c r="O72" i="12"/>
  <c r="P72" i="12"/>
  <c r="AR72" i="12"/>
  <c r="AS72" i="12"/>
  <c r="BG72" i="12"/>
  <c r="BI72" i="12"/>
  <c r="BJ72" i="12"/>
  <c r="BK72" i="12"/>
  <c r="BL72" i="12"/>
  <c r="T61" i="5"/>
  <c r="T62" i="5"/>
  <c r="T63" i="5"/>
  <c r="T64" i="5"/>
  <c r="T65" i="5"/>
  <c r="T66" i="5"/>
  <c r="T67" i="5"/>
  <c r="T68" i="5"/>
  <c r="T69" i="5"/>
  <c r="T70" i="5"/>
  <c r="T71" i="5"/>
  <c r="T72" i="5"/>
  <c r="S71" i="5"/>
  <c r="S72" i="5"/>
  <c r="N71" i="5"/>
  <c r="O71" i="5"/>
  <c r="N72" i="5"/>
  <c r="O72" i="5"/>
  <c r="AR72" i="5"/>
  <c r="AQ72" i="5"/>
  <c r="AP72" i="5"/>
  <c r="AO72" i="5"/>
  <c r="AN72" i="5"/>
  <c r="AM72" i="5"/>
  <c r="AL72" i="5"/>
  <c r="AK72" i="5"/>
  <c r="AJ72" i="5"/>
  <c r="AI72" i="5"/>
  <c r="AH72" i="5"/>
  <c r="AG72" i="5"/>
  <c r="AF72" i="5"/>
  <c r="AE72" i="5"/>
  <c r="AD72" i="5"/>
  <c r="AC72" i="5"/>
  <c r="AB72" i="5"/>
  <c r="AA72" i="5"/>
  <c r="BL71" i="12" l="1"/>
  <c r="BK71" i="12"/>
  <c r="BJ71" i="12"/>
  <c r="BI71" i="12"/>
  <c r="BG71" i="12"/>
  <c r="AS71" i="12"/>
  <c r="AR71" i="12"/>
  <c r="P71" i="12"/>
  <c r="O71" i="12"/>
  <c r="N71" i="12"/>
  <c r="M71" i="12"/>
  <c r="L71" i="12"/>
  <c r="I71" i="12"/>
  <c r="H71" i="12"/>
  <c r="G71" i="12"/>
  <c r="F71" i="12"/>
  <c r="E71" i="12"/>
  <c r="S70" i="5"/>
  <c r="S68" i="5"/>
  <c r="S64" i="5"/>
  <c r="S65" i="5"/>
  <c r="S66" i="5"/>
  <c r="AR71" i="5"/>
  <c r="AQ71" i="5"/>
  <c r="AP71" i="5"/>
  <c r="AO71" i="5"/>
  <c r="AN71" i="5"/>
  <c r="AM71" i="5"/>
  <c r="AL71" i="5"/>
  <c r="AK71" i="5"/>
  <c r="AJ71" i="5"/>
  <c r="AI71" i="5"/>
  <c r="AH71" i="5"/>
  <c r="AG71" i="5"/>
  <c r="AF71" i="5"/>
  <c r="AE71" i="5"/>
  <c r="AD71" i="5"/>
  <c r="AC71" i="5"/>
  <c r="AB71" i="5"/>
  <c r="AA71" i="5"/>
  <c r="BG60" i="12" l="1"/>
  <c r="AA67" i="5" l="1"/>
  <c r="AB67" i="5"/>
  <c r="AC67" i="5"/>
  <c r="AD67" i="5"/>
  <c r="AE67" i="5"/>
  <c r="AF67" i="5"/>
  <c r="AG67" i="5"/>
  <c r="AH67" i="5"/>
  <c r="AI67" i="5"/>
  <c r="AJ67" i="5"/>
  <c r="AK67" i="5"/>
  <c r="AL67" i="5"/>
  <c r="AM67" i="5"/>
  <c r="AN67" i="5"/>
  <c r="AO67" i="5"/>
  <c r="AP67" i="5"/>
  <c r="AQ67" i="5"/>
  <c r="AR67" i="5"/>
  <c r="AA68" i="5"/>
  <c r="AB68" i="5"/>
  <c r="AC68" i="5"/>
  <c r="AD68" i="5"/>
  <c r="AE68" i="5"/>
  <c r="AF68" i="5"/>
  <c r="AG68" i="5"/>
  <c r="AH68" i="5"/>
  <c r="AI68" i="5"/>
  <c r="AJ68" i="5"/>
  <c r="AK68" i="5"/>
  <c r="AL68" i="5"/>
  <c r="AM68" i="5"/>
  <c r="AN68" i="5"/>
  <c r="AO68" i="5"/>
  <c r="AP68" i="5"/>
  <c r="AQ68" i="5"/>
  <c r="AR68" i="5"/>
  <c r="AA69" i="5"/>
  <c r="AB69" i="5"/>
  <c r="AC69" i="5"/>
  <c r="AD69" i="5"/>
  <c r="AE69" i="5"/>
  <c r="AF69" i="5"/>
  <c r="AG69" i="5"/>
  <c r="AH69" i="5"/>
  <c r="AI69" i="5"/>
  <c r="AJ69" i="5"/>
  <c r="AK69" i="5"/>
  <c r="AL69" i="5"/>
  <c r="AM69" i="5"/>
  <c r="AN69" i="5"/>
  <c r="AO69" i="5"/>
  <c r="AP69" i="5"/>
  <c r="AQ69" i="5"/>
  <c r="AR69" i="5"/>
  <c r="AA70" i="5"/>
  <c r="AB70" i="5"/>
  <c r="AC70" i="5"/>
  <c r="AD70" i="5"/>
  <c r="AE70" i="5"/>
  <c r="AF70" i="5"/>
  <c r="AG70" i="5"/>
  <c r="AH70" i="5"/>
  <c r="AI70" i="5"/>
  <c r="AJ70" i="5"/>
  <c r="AK70" i="5"/>
  <c r="AL70" i="5"/>
  <c r="AM70" i="5"/>
  <c r="AN70" i="5"/>
  <c r="AO70" i="5"/>
  <c r="AP70" i="5"/>
  <c r="AQ70" i="5"/>
  <c r="AR70" i="5"/>
  <c r="AR69" i="12" l="1"/>
  <c r="AS68" i="12"/>
  <c r="M67" i="5" l="1"/>
  <c r="N67" i="5"/>
  <c r="O67" i="5"/>
  <c r="M68" i="5"/>
  <c r="N68" i="5"/>
  <c r="O68" i="5"/>
  <c r="M69" i="5"/>
  <c r="N69" i="5"/>
  <c r="O69" i="5"/>
  <c r="M70" i="5"/>
  <c r="N70" i="5"/>
  <c r="O70" i="5"/>
  <c r="AR70" i="12" l="1"/>
  <c r="AR68" i="12"/>
  <c r="AR66" i="12"/>
  <c r="AR65" i="12"/>
  <c r="S15" i="5" l="1"/>
  <c r="T15" i="5"/>
  <c r="BL70" i="12" l="1"/>
  <c r="BK70" i="12"/>
  <c r="BJ70" i="12"/>
  <c r="BI70" i="12"/>
  <c r="BG70" i="12"/>
  <c r="AS70" i="12"/>
  <c r="P70" i="12"/>
  <c r="O70" i="12"/>
  <c r="N70" i="12"/>
  <c r="M70" i="12"/>
  <c r="L70" i="12"/>
  <c r="K70" i="12"/>
  <c r="I70" i="12"/>
  <c r="H70" i="12"/>
  <c r="G70" i="12"/>
  <c r="F70" i="12"/>
  <c r="E70" i="12"/>
  <c r="BL69" i="12"/>
  <c r="BK69" i="12"/>
  <c r="BJ69" i="12"/>
  <c r="BI69" i="12"/>
  <c r="BG69" i="12"/>
  <c r="AS69" i="12"/>
  <c r="P69" i="12"/>
  <c r="O69" i="12"/>
  <c r="N69" i="12"/>
  <c r="M69" i="12"/>
  <c r="L69" i="12"/>
  <c r="K69" i="12"/>
  <c r="I69" i="12"/>
  <c r="H69" i="12"/>
  <c r="G69" i="12"/>
  <c r="F69" i="12"/>
  <c r="E69" i="12"/>
  <c r="BL68" i="12"/>
  <c r="BK68" i="12"/>
  <c r="BJ68" i="12"/>
  <c r="BI68" i="12"/>
  <c r="BG68" i="12"/>
  <c r="P68" i="12"/>
  <c r="O68" i="12"/>
  <c r="N68" i="12"/>
  <c r="M68" i="12"/>
  <c r="L68" i="12"/>
  <c r="K68" i="12"/>
  <c r="I68" i="12"/>
  <c r="H68" i="12"/>
  <c r="G68" i="12"/>
  <c r="F68" i="12"/>
  <c r="E68" i="12"/>
  <c r="BL67" i="12"/>
  <c r="BK67" i="12"/>
  <c r="BJ67" i="12"/>
  <c r="BI67" i="12"/>
  <c r="BG67" i="12"/>
  <c r="AS67" i="12"/>
  <c r="P67" i="12"/>
  <c r="O67" i="12"/>
  <c r="N67" i="12"/>
  <c r="M67" i="12"/>
  <c r="L67" i="12"/>
  <c r="K67" i="12"/>
  <c r="I67" i="12"/>
  <c r="H67" i="12"/>
  <c r="G67" i="12"/>
  <c r="F67" i="12"/>
  <c r="E67" i="12"/>
  <c r="BL57" i="12" l="1"/>
  <c r="S63" i="5" l="1"/>
  <c r="O66" i="5"/>
  <c r="O65" i="5"/>
  <c r="O64" i="5"/>
  <c r="O63" i="5"/>
  <c r="M64" i="5"/>
  <c r="N64" i="5"/>
  <c r="M65" i="5"/>
  <c r="N65" i="5"/>
  <c r="M66" i="5"/>
  <c r="N66" i="5"/>
  <c r="BL65" i="12" l="1"/>
  <c r="BK65" i="12"/>
  <c r="BJ65" i="12"/>
  <c r="BI65" i="12"/>
  <c r="BG65" i="12"/>
  <c r="AS65" i="12"/>
  <c r="P65" i="12"/>
  <c r="O65" i="12"/>
  <c r="N65" i="12"/>
  <c r="M65" i="12"/>
  <c r="L65" i="12"/>
  <c r="K65" i="12"/>
  <c r="I65" i="12"/>
  <c r="H65" i="12"/>
  <c r="G65" i="12"/>
  <c r="F65" i="12"/>
  <c r="E65" i="12"/>
  <c r="AR65" i="5" l="1"/>
  <c r="AQ65" i="5"/>
  <c r="AP65" i="5"/>
  <c r="AO65" i="5"/>
  <c r="AN65" i="5"/>
  <c r="AM65" i="5"/>
  <c r="AL65" i="5"/>
  <c r="AK65" i="5"/>
  <c r="AJ65" i="5"/>
  <c r="AI65" i="5"/>
  <c r="AH65" i="5"/>
  <c r="AG65" i="5"/>
  <c r="AF65" i="5"/>
  <c r="AE65" i="5"/>
  <c r="AD65" i="5"/>
  <c r="AC65" i="5"/>
  <c r="AB65" i="5"/>
  <c r="AA65" i="5"/>
  <c r="AA63" i="5" l="1"/>
  <c r="AB63" i="5"/>
  <c r="AC63" i="5"/>
  <c r="AD63" i="5"/>
  <c r="AE63" i="5"/>
  <c r="AF63" i="5"/>
  <c r="AG63" i="5"/>
  <c r="AH63" i="5"/>
  <c r="AI63" i="5"/>
  <c r="AJ63" i="5"/>
  <c r="AK63" i="5"/>
  <c r="AL63" i="5"/>
  <c r="AM63" i="5"/>
  <c r="AN63" i="5"/>
  <c r="AO63" i="5"/>
  <c r="AP63" i="5"/>
  <c r="AQ63" i="5"/>
  <c r="AR63" i="5"/>
  <c r="AA64" i="5"/>
  <c r="AB64" i="5"/>
  <c r="AC64" i="5"/>
  <c r="AD64" i="5"/>
  <c r="AE64" i="5"/>
  <c r="AF64" i="5"/>
  <c r="AG64" i="5"/>
  <c r="AH64" i="5"/>
  <c r="AI64" i="5"/>
  <c r="AJ64" i="5"/>
  <c r="AK64" i="5"/>
  <c r="AL64" i="5"/>
  <c r="AM64" i="5"/>
  <c r="AN64" i="5"/>
  <c r="AO64" i="5"/>
  <c r="AP64" i="5"/>
  <c r="AQ64" i="5"/>
  <c r="AR64" i="5"/>
  <c r="AA66" i="5"/>
  <c r="AB66" i="5"/>
  <c r="AC66" i="5"/>
  <c r="AD66" i="5"/>
  <c r="AE66" i="5"/>
  <c r="AF66" i="5"/>
  <c r="AG66" i="5"/>
  <c r="AH66" i="5"/>
  <c r="AI66" i="5"/>
  <c r="AJ66" i="5"/>
  <c r="AK66" i="5"/>
  <c r="AL66" i="5"/>
  <c r="AM66" i="5"/>
  <c r="AN66" i="5"/>
  <c r="AO66" i="5"/>
  <c r="AP66" i="5"/>
  <c r="AQ66" i="5"/>
  <c r="AR66" i="5"/>
  <c r="BL66" i="12"/>
  <c r="BK66" i="12"/>
  <c r="BJ66" i="12"/>
  <c r="BI66" i="12"/>
  <c r="BG66" i="12"/>
  <c r="AS66" i="12"/>
  <c r="P66" i="12"/>
  <c r="O66" i="12"/>
  <c r="N66" i="12"/>
  <c r="M66" i="12"/>
  <c r="L66" i="12"/>
  <c r="K66" i="12"/>
  <c r="I66" i="12"/>
  <c r="H66" i="12"/>
  <c r="G66" i="12"/>
  <c r="F66" i="12"/>
  <c r="E66" i="12"/>
  <c r="O29" i="5" l="1"/>
  <c r="N29" i="5"/>
  <c r="M29" i="5"/>
  <c r="AS26" i="12" l="1"/>
  <c r="AS27" i="12" l="1"/>
  <c r="AS54" i="12" l="1"/>
  <c r="BJ56" i="12" l="1"/>
  <c r="T29" i="5" l="1"/>
  <c r="BJ29" i="12"/>
  <c r="BL64" i="12" l="1"/>
  <c r="BK64" i="12"/>
  <c r="BJ64" i="12"/>
  <c r="BI64" i="12"/>
  <c r="BG64" i="12"/>
  <c r="AS64" i="12"/>
  <c r="P64" i="12"/>
  <c r="O64" i="12"/>
  <c r="N64" i="12"/>
  <c r="M64" i="12"/>
  <c r="L64" i="12"/>
  <c r="K64" i="12"/>
  <c r="I64" i="12"/>
  <c r="H64" i="12"/>
  <c r="G64" i="12"/>
  <c r="F64" i="12"/>
  <c r="E64" i="12"/>
  <c r="BJ14" i="12" l="1"/>
  <c r="BI44" i="12" l="1"/>
  <c r="BG31" i="12" l="1"/>
  <c r="BI58" i="12" l="1"/>
  <c r="T4" i="5" l="1"/>
  <c r="T5" i="5"/>
  <c r="T6" i="5"/>
  <c r="T7" i="5"/>
  <c r="T8" i="5"/>
  <c r="T9" i="5"/>
  <c r="T10" i="5"/>
  <c r="T11" i="5"/>
  <c r="T12" i="5"/>
  <c r="T13" i="5"/>
  <c r="T14" i="5"/>
  <c r="T16" i="5"/>
  <c r="T17" i="5"/>
  <c r="T18" i="5"/>
  <c r="T19" i="5"/>
  <c r="T20" i="5"/>
  <c r="T21" i="5"/>
  <c r="T22" i="5"/>
  <c r="T23" i="5"/>
  <c r="T24" i="5"/>
  <c r="T25" i="5"/>
  <c r="T26" i="5"/>
  <c r="T27" i="5"/>
  <c r="T28" i="5"/>
  <c r="T30" i="5"/>
  <c r="T31" i="5"/>
  <c r="T32" i="5"/>
  <c r="T33" i="5"/>
  <c r="T34" i="5"/>
  <c r="T35" i="5"/>
  <c r="T36" i="5"/>
  <c r="T37" i="5"/>
  <c r="T38" i="5"/>
  <c r="T39" i="5"/>
  <c r="T40" i="5"/>
  <c r="T41" i="5"/>
  <c r="T42" i="5"/>
  <c r="T43" i="5"/>
  <c r="T44" i="5"/>
  <c r="T45" i="5"/>
  <c r="T46" i="5"/>
  <c r="T47" i="5"/>
  <c r="T48" i="5"/>
  <c r="T49" i="5"/>
  <c r="T51" i="5"/>
  <c r="T52" i="5"/>
  <c r="T53" i="5"/>
  <c r="T54" i="5"/>
  <c r="T55" i="5"/>
  <c r="T56" i="5"/>
  <c r="T57" i="5"/>
  <c r="T58" i="5"/>
  <c r="T59" i="5"/>
  <c r="T60" i="5"/>
  <c r="M5" i="5" l="1"/>
  <c r="M6" i="5"/>
  <c r="M7" i="5"/>
  <c r="M8" i="5"/>
  <c r="M9" i="5"/>
  <c r="M10" i="5"/>
  <c r="M11" i="5"/>
  <c r="M12" i="5"/>
  <c r="M13" i="5"/>
  <c r="M14" i="5"/>
  <c r="M15" i="5"/>
  <c r="M16" i="5"/>
  <c r="M17" i="5"/>
  <c r="M18" i="5"/>
  <c r="M19" i="5"/>
  <c r="M20" i="5"/>
  <c r="M21" i="5"/>
  <c r="M22" i="5"/>
  <c r="M23" i="5"/>
  <c r="M24" i="5"/>
  <c r="M25" i="5"/>
  <c r="M26" i="5"/>
  <c r="M27" i="5"/>
  <c r="M28" i="5"/>
  <c r="M30" i="5"/>
  <c r="M31" i="5"/>
  <c r="M32" i="5"/>
  <c r="M33" i="5"/>
  <c r="M34" i="5"/>
  <c r="M35" i="5"/>
  <c r="M36" i="5"/>
  <c r="M37" i="5"/>
  <c r="M38" i="5"/>
  <c r="M39" i="5"/>
  <c r="M40" i="5"/>
  <c r="M41" i="5"/>
  <c r="M42" i="5"/>
  <c r="M43" i="5"/>
  <c r="M44" i="5"/>
  <c r="M45" i="5"/>
  <c r="M46" i="5"/>
  <c r="M47" i="5"/>
  <c r="M48" i="5"/>
  <c r="M49" i="5"/>
  <c r="M51" i="5"/>
  <c r="M52" i="5"/>
  <c r="M53" i="5"/>
  <c r="M54" i="5"/>
  <c r="M55" i="5"/>
  <c r="M56" i="5"/>
  <c r="M57" i="5"/>
  <c r="M58" i="5"/>
  <c r="M59" i="5"/>
  <c r="M60" i="5"/>
  <c r="M61" i="5"/>
  <c r="M62" i="5"/>
  <c r="M63" i="5"/>
  <c r="M4" i="5"/>
  <c r="N5" i="5"/>
  <c r="N6" i="5"/>
  <c r="N7" i="5"/>
  <c r="N8" i="5"/>
  <c r="N9" i="5"/>
  <c r="N10" i="5"/>
  <c r="N11" i="5"/>
  <c r="N12" i="5"/>
  <c r="N13" i="5"/>
  <c r="N14" i="5"/>
  <c r="N15" i="5"/>
  <c r="N16" i="5"/>
  <c r="N17" i="5"/>
  <c r="N18" i="5"/>
  <c r="N19" i="5"/>
  <c r="N20" i="5"/>
  <c r="N21" i="5"/>
  <c r="N22" i="5"/>
  <c r="N23" i="5"/>
  <c r="N24" i="5"/>
  <c r="N25" i="5"/>
  <c r="N26" i="5"/>
  <c r="N27" i="5"/>
  <c r="N28" i="5"/>
  <c r="N30" i="5"/>
  <c r="N31" i="5"/>
  <c r="N32" i="5"/>
  <c r="N33" i="5"/>
  <c r="N34" i="5"/>
  <c r="N35" i="5"/>
  <c r="N36" i="5"/>
  <c r="N37" i="5"/>
  <c r="N38" i="5"/>
  <c r="N39" i="5"/>
  <c r="N40" i="5"/>
  <c r="N41" i="5"/>
  <c r="N42" i="5"/>
  <c r="N43" i="5"/>
  <c r="N44" i="5"/>
  <c r="N45" i="5"/>
  <c r="N46" i="5"/>
  <c r="N47" i="5"/>
  <c r="N48" i="5"/>
  <c r="N49" i="5"/>
  <c r="N51" i="5"/>
  <c r="N52" i="5"/>
  <c r="N53" i="5"/>
  <c r="N54" i="5"/>
  <c r="N55" i="5"/>
  <c r="N56" i="5"/>
  <c r="N57" i="5"/>
  <c r="N58" i="5"/>
  <c r="N59" i="5"/>
  <c r="N60" i="5"/>
  <c r="N61" i="5"/>
  <c r="N62" i="5"/>
  <c r="N63" i="5"/>
  <c r="N4" i="5"/>
  <c r="K12" i="12" l="1"/>
  <c r="BG63" i="12" l="1"/>
  <c r="BI63" i="12"/>
  <c r="BJ63" i="12"/>
  <c r="BK63" i="12"/>
  <c r="BL63" i="12"/>
  <c r="AR62" i="12"/>
  <c r="AS62" i="12"/>
  <c r="AS63" i="12"/>
  <c r="K63" i="12"/>
  <c r="L63" i="12"/>
  <c r="M63" i="12"/>
  <c r="N63" i="12"/>
  <c r="O63" i="12"/>
  <c r="P63" i="12"/>
  <c r="E63" i="12"/>
  <c r="F63" i="12"/>
  <c r="G63" i="12"/>
  <c r="H63" i="12"/>
  <c r="I63" i="12"/>
  <c r="AL31" i="5" l="1"/>
  <c r="AL27" i="5"/>
  <c r="AA62" i="5"/>
  <c r="AB62" i="5"/>
  <c r="AC62" i="5"/>
  <c r="AD62" i="5"/>
  <c r="AE62" i="5"/>
  <c r="AF62" i="5"/>
  <c r="AG62" i="5"/>
  <c r="AH62" i="5"/>
  <c r="AI62" i="5"/>
  <c r="AJ62" i="5"/>
  <c r="AK62" i="5"/>
  <c r="AL62" i="5"/>
  <c r="AM62" i="5"/>
  <c r="AN62" i="5"/>
  <c r="AO62" i="5"/>
  <c r="AP62" i="5"/>
  <c r="AQ62" i="5"/>
  <c r="AR62" i="5"/>
  <c r="AA9" i="5"/>
  <c r="AB9" i="5"/>
  <c r="AC9" i="5"/>
  <c r="AD9" i="5"/>
  <c r="AE9" i="5"/>
  <c r="AF9" i="5"/>
  <c r="AG9" i="5"/>
  <c r="AH9" i="5"/>
  <c r="AI9" i="5"/>
  <c r="AJ9" i="5"/>
  <c r="AK9" i="5"/>
  <c r="AL9" i="5"/>
  <c r="AM9" i="5"/>
  <c r="AN9" i="5"/>
  <c r="AO9" i="5"/>
  <c r="AP9" i="5"/>
  <c r="AQ9" i="5"/>
  <c r="AR9" i="5"/>
  <c r="AA10" i="5"/>
  <c r="AB10" i="5"/>
  <c r="AC10" i="5"/>
  <c r="AD10" i="5"/>
  <c r="AE10" i="5"/>
  <c r="AF10" i="5"/>
  <c r="AG10" i="5"/>
  <c r="AH10" i="5"/>
  <c r="AI10" i="5"/>
  <c r="AJ10" i="5"/>
  <c r="AK10" i="5"/>
  <c r="AL10" i="5"/>
  <c r="AM10" i="5"/>
  <c r="AN10" i="5"/>
  <c r="AO10" i="5"/>
  <c r="AP10" i="5"/>
  <c r="AQ10" i="5"/>
  <c r="AR10" i="5"/>
  <c r="AA11" i="5"/>
  <c r="AB11" i="5"/>
  <c r="AC11" i="5"/>
  <c r="AD11" i="5"/>
  <c r="AE11" i="5"/>
  <c r="AF11" i="5"/>
  <c r="AG11" i="5"/>
  <c r="AH11" i="5"/>
  <c r="AI11" i="5"/>
  <c r="AJ11" i="5"/>
  <c r="AK11" i="5"/>
  <c r="AL11" i="5"/>
  <c r="AM11" i="5"/>
  <c r="AN11" i="5"/>
  <c r="AO11" i="5"/>
  <c r="AP11" i="5"/>
  <c r="AQ11" i="5"/>
  <c r="AR11" i="5"/>
  <c r="AA12" i="5"/>
  <c r="AB12" i="5"/>
  <c r="AC12" i="5"/>
  <c r="AD12" i="5"/>
  <c r="AE12" i="5"/>
  <c r="AF12" i="5"/>
  <c r="AG12" i="5"/>
  <c r="AH12" i="5"/>
  <c r="AI12" i="5"/>
  <c r="AJ12" i="5"/>
  <c r="AK12" i="5"/>
  <c r="AL12" i="5"/>
  <c r="AM12" i="5"/>
  <c r="AN12" i="5"/>
  <c r="AO12" i="5"/>
  <c r="AP12" i="5"/>
  <c r="AQ12" i="5"/>
  <c r="AR12" i="5"/>
  <c r="AA13" i="5"/>
  <c r="AB13" i="5"/>
  <c r="AC13" i="5"/>
  <c r="AD13" i="5"/>
  <c r="AE13" i="5"/>
  <c r="AF13" i="5"/>
  <c r="AG13" i="5"/>
  <c r="AH13" i="5"/>
  <c r="AI13" i="5"/>
  <c r="AJ13" i="5"/>
  <c r="AK13" i="5"/>
  <c r="AL13" i="5"/>
  <c r="AM13" i="5"/>
  <c r="AN13" i="5"/>
  <c r="AO13" i="5"/>
  <c r="AP13" i="5"/>
  <c r="AQ13" i="5"/>
  <c r="AR13" i="5"/>
  <c r="AA14" i="5"/>
  <c r="AB14" i="5"/>
  <c r="AC14" i="5"/>
  <c r="AD14" i="5"/>
  <c r="AE14" i="5"/>
  <c r="AF14" i="5"/>
  <c r="AG14" i="5"/>
  <c r="AH14" i="5"/>
  <c r="AI14" i="5"/>
  <c r="AJ14" i="5"/>
  <c r="AK14" i="5"/>
  <c r="AL14" i="5"/>
  <c r="AM14" i="5"/>
  <c r="AN14" i="5"/>
  <c r="AO14" i="5"/>
  <c r="AP14" i="5"/>
  <c r="AQ14" i="5"/>
  <c r="AR14" i="5"/>
  <c r="AA15" i="5"/>
  <c r="AB15" i="5"/>
  <c r="AC15" i="5"/>
  <c r="AD15" i="5"/>
  <c r="AE15" i="5"/>
  <c r="AF15" i="5"/>
  <c r="AG15" i="5"/>
  <c r="AH15" i="5"/>
  <c r="AI15" i="5"/>
  <c r="AJ15" i="5"/>
  <c r="AK15" i="5"/>
  <c r="AL15" i="5"/>
  <c r="AM15" i="5"/>
  <c r="AN15" i="5"/>
  <c r="AO15" i="5"/>
  <c r="AP15" i="5"/>
  <c r="AQ15" i="5"/>
  <c r="AR15" i="5"/>
  <c r="AA16" i="5"/>
  <c r="AB16" i="5"/>
  <c r="AC16" i="5"/>
  <c r="AD16" i="5"/>
  <c r="AE16" i="5"/>
  <c r="AF16" i="5"/>
  <c r="AG16" i="5"/>
  <c r="AH16" i="5"/>
  <c r="AI16" i="5"/>
  <c r="AJ16" i="5"/>
  <c r="AK16" i="5"/>
  <c r="AL16" i="5"/>
  <c r="AM16" i="5"/>
  <c r="AN16" i="5"/>
  <c r="AO16" i="5"/>
  <c r="AP16" i="5"/>
  <c r="AQ16" i="5"/>
  <c r="AR16" i="5"/>
  <c r="AA17" i="5"/>
  <c r="AB17" i="5"/>
  <c r="AC17" i="5"/>
  <c r="AD17" i="5"/>
  <c r="AE17" i="5"/>
  <c r="AF17" i="5"/>
  <c r="AG17" i="5"/>
  <c r="AH17" i="5"/>
  <c r="AI17" i="5"/>
  <c r="AJ17" i="5"/>
  <c r="AK17" i="5"/>
  <c r="AL17" i="5"/>
  <c r="AM17" i="5"/>
  <c r="AN17" i="5"/>
  <c r="AO17" i="5"/>
  <c r="AP17" i="5"/>
  <c r="AQ17" i="5"/>
  <c r="AR17" i="5"/>
  <c r="AA18" i="5"/>
  <c r="AB18" i="5"/>
  <c r="AC18" i="5"/>
  <c r="AD18" i="5"/>
  <c r="AE18" i="5"/>
  <c r="AF18" i="5"/>
  <c r="AG18" i="5"/>
  <c r="AH18" i="5"/>
  <c r="AI18" i="5"/>
  <c r="AJ18" i="5"/>
  <c r="AK18" i="5"/>
  <c r="AL18" i="5"/>
  <c r="AM18" i="5"/>
  <c r="AN18" i="5"/>
  <c r="AO18" i="5"/>
  <c r="AP18" i="5"/>
  <c r="AQ18" i="5"/>
  <c r="AR18" i="5"/>
  <c r="AA19" i="5"/>
  <c r="AB19" i="5"/>
  <c r="AC19" i="5"/>
  <c r="AD19" i="5"/>
  <c r="AE19" i="5"/>
  <c r="AF19" i="5"/>
  <c r="AG19" i="5"/>
  <c r="AH19" i="5"/>
  <c r="AI19" i="5"/>
  <c r="AJ19" i="5"/>
  <c r="AK19" i="5"/>
  <c r="AL19" i="5"/>
  <c r="AM19" i="5"/>
  <c r="AN19" i="5"/>
  <c r="AO19" i="5"/>
  <c r="AP19" i="5"/>
  <c r="AQ19" i="5"/>
  <c r="AR19" i="5"/>
  <c r="AA20" i="5"/>
  <c r="AB20" i="5"/>
  <c r="AC20" i="5"/>
  <c r="AD20" i="5"/>
  <c r="AE20" i="5"/>
  <c r="AF20" i="5"/>
  <c r="AG20" i="5"/>
  <c r="AH20" i="5"/>
  <c r="AI20" i="5"/>
  <c r="AJ20" i="5"/>
  <c r="AK20" i="5"/>
  <c r="AL20" i="5"/>
  <c r="AM20" i="5"/>
  <c r="AN20" i="5"/>
  <c r="AO20" i="5"/>
  <c r="AP20" i="5"/>
  <c r="AQ20" i="5"/>
  <c r="AR20" i="5"/>
  <c r="AA21" i="5"/>
  <c r="AB21" i="5"/>
  <c r="AC21" i="5"/>
  <c r="AD21" i="5"/>
  <c r="AE21" i="5"/>
  <c r="AF21" i="5"/>
  <c r="AG21" i="5"/>
  <c r="AH21" i="5"/>
  <c r="AI21" i="5"/>
  <c r="AJ21" i="5"/>
  <c r="AK21" i="5"/>
  <c r="AL21" i="5"/>
  <c r="AM21" i="5"/>
  <c r="AN21" i="5"/>
  <c r="AO21" i="5"/>
  <c r="AP21" i="5"/>
  <c r="AQ21" i="5"/>
  <c r="AR21" i="5"/>
  <c r="AA22" i="5"/>
  <c r="AB22" i="5"/>
  <c r="AC22" i="5"/>
  <c r="AD22" i="5"/>
  <c r="AE22" i="5"/>
  <c r="AF22" i="5"/>
  <c r="AG22" i="5"/>
  <c r="AH22" i="5"/>
  <c r="AI22" i="5"/>
  <c r="AJ22" i="5"/>
  <c r="AK22" i="5"/>
  <c r="AL22" i="5"/>
  <c r="AM22" i="5"/>
  <c r="AN22" i="5"/>
  <c r="AO22" i="5"/>
  <c r="AP22" i="5"/>
  <c r="AQ22" i="5"/>
  <c r="AR22" i="5"/>
  <c r="AA23" i="5"/>
  <c r="AB23" i="5"/>
  <c r="AC23" i="5"/>
  <c r="AD23" i="5"/>
  <c r="AE23" i="5"/>
  <c r="AF23" i="5"/>
  <c r="AG23" i="5"/>
  <c r="AH23" i="5"/>
  <c r="AI23" i="5"/>
  <c r="AJ23" i="5"/>
  <c r="AK23" i="5"/>
  <c r="AL23" i="5"/>
  <c r="AM23" i="5"/>
  <c r="AN23" i="5"/>
  <c r="AO23" i="5"/>
  <c r="AP23" i="5"/>
  <c r="AQ23" i="5"/>
  <c r="AR23" i="5"/>
  <c r="AA24" i="5"/>
  <c r="AB24" i="5"/>
  <c r="AC24" i="5"/>
  <c r="AD24" i="5"/>
  <c r="AE24" i="5"/>
  <c r="AF24" i="5"/>
  <c r="AG24" i="5"/>
  <c r="AH24" i="5"/>
  <c r="AI24" i="5"/>
  <c r="AJ24" i="5"/>
  <c r="AK24" i="5"/>
  <c r="AL24" i="5"/>
  <c r="AM24" i="5"/>
  <c r="AN24" i="5"/>
  <c r="AO24" i="5"/>
  <c r="AP24" i="5"/>
  <c r="AQ24" i="5"/>
  <c r="AR24" i="5"/>
  <c r="AA25" i="5"/>
  <c r="AB25" i="5"/>
  <c r="AC25" i="5"/>
  <c r="AD25" i="5"/>
  <c r="AE25" i="5"/>
  <c r="AF25" i="5"/>
  <c r="AG25" i="5"/>
  <c r="AH25" i="5"/>
  <c r="AI25" i="5"/>
  <c r="AJ25" i="5"/>
  <c r="AK25" i="5"/>
  <c r="AL25" i="5"/>
  <c r="AM25" i="5"/>
  <c r="AN25" i="5"/>
  <c r="AO25" i="5"/>
  <c r="AP25" i="5"/>
  <c r="AQ25" i="5"/>
  <c r="AR25" i="5"/>
  <c r="AA26" i="5"/>
  <c r="AB26" i="5"/>
  <c r="AC26" i="5"/>
  <c r="AD26" i="5"/>
  <c r="AE26" i="5"/>
  <c r="AF26" i="5"/>
  <c r="AG26" i="5"/>
  <c r="AH26" i="5"/>
  <c r="AI26" i="5"/>
  <c r="AJ26" i="5"/>
  <c r="AK26" i="5"/>
  <c r="AL26" i="5"/>
  <c r="AM26" i="5"/>
  <c r="AN26" i="5"/>
  <c r="AO26" i="5"/>
  <c r="AP26" i="5"/>
  <c r="AQ26" i="5"/>
  <c r="AR26" i="5"/>
  <c r="AA27" i="5"/>
  <c r="AB27" i="5"/>
  <c r="AC27" i="5"/>
  <c r="AD27" i="5"/>
  <c r="AE27" i="5"/>
  <c r="AF27" i="5"/>
  <c r="AG27" i="5"/>
  <c r="AH27" i="5"/>
  <c r="AI27" i="5"/>
  <c r="AJ27" i="5"/>
  <c r="AK27" i="5"/>
  <c r="AM27" i="5"/>
  <c r="AN27" i="5"/>
  <c r="AO27" i="5"/>
  <c r="AP27" i="5"/>
  <c r="AQ27" i="5"/>
  <c r="AR27" i="5"/>
  <c r="AA28" i="5"/>
  <c r="AB28" i="5"/>
  <c r="AC28" i="5"/>
  <c r="AD28" i="5"/>
  <c r="AE28" i="5"/>
  <c r="AF28" i="5"/>
  <c r="AG28" i="5"/>
  <c r="AH28" i="5"/>
  <c r="AI28" i="5"/>
  <c r="AJ28" i="5"/>
  <c r="AK28" i="5"/>
  <c r="AL28" i="5"/>
  <c r="AM28" i="5"/>
  <c r="AN28" i="5"/>
  <c r="AO28" i="5"/>
  <c r="AP28" i="5"/>
  <c r="AQ28" i="5"/>
  <c r="AR28" i="5"/>
  <c r="AA29" i="5"/>
  <c r="AB29" i="5"/>
  <c r="AC29" i="5"/>
  <c r="AD29" i="5"/>
  <c r="AE29" i="5"/>
  <c r="AF29" i="5"/>
  <c r="AG29" i="5"/>
  <c r="AH29" i="5"/>
  <c r="AI29" i="5"/>
  <c r="AJ29" i="5"/>
  <c r="AK29" i="5"/>
  <c r="AL29" i="5"/>
  <c r="AM29" i="5"/>
  <c r="AN29" i="5"/>
  <c r="AO29" i="5"/>
  <c r="AP29" i="5"/>
  <c r="AQ29" i="5"/>
  <c r="AR29" i="5"/>
  <c r="AA30" i="5"/>
  <c r="AB30" i="5"/>
  <c r="AC30" i="5"/>
  <c r="AD30" i="5"/>
  <c r="AE30" i="5"/>
  <c r="AF30" i="5"/>
  <c r="AG30" i="5"/>
  <c r="AH30" i="5"/>
  <c r="AI30" i="5"/>
  <c r="AJ30" i="5"/>
  <c r="AK30" i="5"/>
  <c r="AM30" i="5"/>
  <c r="AN30" i="5"/>
  <c r="AO30" i="5"/>
  <c r="AP30" i="5"/>
  <c r="AQ30" i="5"/>
  <c r="AR30" i="5"/>
  <c r="AA31" i="5"/>
  <c r="AB31" i="5"/>
  <c r="AC31" i="5"/>
  <c r="AD31" i="5"/>
  <c r="AE31" i="5"/>
  <c r="AF31" i="5"/>
  <c r="AG31" i="5"/>
  <c r="AH31" i="5"/>
  <c r="AI31" i="5"/>
  <c r="AJ31" i="5"/>
  <c r="AK31" i="5"/>
  <c r="AM31" i="5"/>
  <c r="AN31" i="5"/>
  <c r="AO31" i="5"/>
  <c r="AP31" i="5"/>
  <c r="AQ31" i="5"/>
  <c r="AR31" i="5"/>
  <c r="AA32" i="5"/>
  <c r="AB32" i="5"/>
  <c r="AC32" i="5"/>
  <c r="AD32" i="5"/>
  <c r="AE32" i="5"/>
  <c r="AF32" i="5"/>
  <c r="AG32" i="5"/>
  <c r="AH32" i="5"/>
  <c r="AI32" i="5"/>
  <c r="AJ32" i="5"/>
  <c r="AK32" i="5"/>
  <c r="AL32" i="5"/>
  <c r="AM32" i="5"/>
  <c r="AN32" i="5"/>
  <c r="AO32" i="5"/>
  <c r="AP32" i="5"/>
  <c r="AQ32" i="5"/>
  <c r="AR32" i="5"/>
  <c r="AA33" i="5"/>
  <c r="AB33" i="5"/>
  <c r="AC33" i="5"/>
  <c r="AD33" i="5"/>
  <c r="AE33" i="5"/>
  <c r="AF33" i="5"/>
  <c r="AG33" i="5"/>
  <c r="AH33" i="5"/>
  <c r="AI33" i="5"/>
  <c r="AJ33" i="5"/>
  <c r="AK33" i="5"/>
  <c r="AL33" i="5"/>
  <c r="AM33" i="5"/>
  <c r="AN33" i="5"/>
  <c r="AO33" i="5"/>
  <c r="AP33" i="5"/>
  <c r="AQ33" i="5"/>
  <c r="AR33" i="5"/>
  <c r="AA34" i="5"/>
  <c r="AB34" i="5"/>
  <c r="AC34" i="5"/>
  <c r="AD34" i="5"/>
  <c r="AE34" i="5"/>
  <c r="AF34" i="5"/>
  <c r="AG34" i="5"/>
  <c r="AH34" i="5"/>
  <c r="AI34" i="5"/>
  <c r="AJ34" i="5"/>
  <c r="AK34" i="5"/>
  <c r="AL34" i="5"/>
  <c r="AM34" i="5"/>
  <c r="AN34" i="5"/>
  <c r="AO34" i="5"/>
  <c r="AP34" i="5"/>
  <c r="AQ34" i="5"/>
  <c r="AR34" i="5"/>
  <c r="AA35" i="5"/>
  <c r="AB35" i="5"/>
  <c r="AC35" i="5"/>
  <c r="AD35" i="5"/>
  <c r="AE35" i="5"/>
  <c r="AF35" i="5"/>
  <c r="AG35" i="5"/>
  <c r="AH35" i="5"/>
  <c r="AI35" i="5"/>
  <c r="AJ35" i="5"/>
  <c r="AK35" i="5"/>
  <c r="AL35" i="5"/>
  <c r="AM35" i="5"/>
  <c r="AN35" i="5"/>
  <c r="AO35" i="5"/>
  <c r="AP35" i="5"/>
  <c r="AQ35" i="5"/>
  <c r="AR35" i="5"/>
  <c r="AA36" i="5"/>
  <c r="AB36" i="5"/>
  <c r="AC36" i="5"/>
  <c r="AD36" i="5"/>
  <c r="AE36" i="5"/>
  <c r="AF36" i="5"/>
  <c r="AG36" i="5"/>
  <c r="AH36" i="5"/>
  <c r="AI36" i="5"/>
  <c r="AJ36" i="5"/>
  <c r="AK36" i="5"/>
  <c r="AL36" i="5"/>
  <c r="AM36" i="5"/>
  <c r="AN36" i="5"/>
  <c r="AO36" i="5"/>
  <c r="AP36" i="5"/>
  <c r="AQ36" i="5"/>
  <c r="AR36" i="5"/>
  <c r="AA37" i="5"/>
  <c r="AB37" i="5"/>
  <c r="AC37" i="5"/>
  <c r="AD37" i="5"/>
  <c r="AE37" i="5"/>
  <c r="AF37" i="5"/>
  <c r="AG37" i="5"/>
  <c r="AH37" i="5"/>
  <c r="AI37" i="5"/>
  <c r="AJ37" i="5"/>
  <c r="AK37" i="5"/>
  <c r="AL37" i="5"/>
  <c r="AM37" i="5"/>
  <c r="AN37" i="5"/>
  <c r="AO37" i="5"/>
  <c r="AP37" i="5"/>
  <c r="AQ37" i="5"/>
  <c r="AR37" i="5"/>
  <c r="AA38" i="5"/>
  <c r="AB38" i="5"/>
  <c r="AC38" i="5"/>
  <c r="AD38" i="5"/>
  <c r="AE38" i="5"/>
  <c r="AF38" i="5"/>
  <c r="AG38" i="5"/>
  <c r="AH38" i="5"/>
  <c r="AI38" i="5"/>
  <c r="AJ38" i="5"/>
  <c r="AK38" i="5"/>
  <c r="AL38" i="5"/>
  <c r="AM38" i="5"/>
  <c r="AN38" i="5"/>
  <c r="AO38" i="5"/>
  <c r="AP38" i="5"/>
  <c r="AQ38" i="5"/>
  <c r="AR38" i="5"/>
  <c r="AA39" i="5"/>
  <c r="AB39" i="5"/>
  <c r="AC39" i="5"/>
  <c r="AD39" i="5"/>
  <c r="AE39" i="5"/>
  <c r="AF39" i="5"/>
  <c r="AG39" i="5"/>
  <c r="AH39" i="5"/>
  <c r="AI39" i="5"/>
  <c r="AJ39" i="5"/>
  <c r="AK39" i="5"/>
  <c r="AL39" i="5"/>
  <c r="AM39" i="5"/>
  <c r="AN39" i="5"/>
  <c r="AO39" i="5"/>
  <c r="AP39" i="5"/>
  <c r="AQ39" i="5"/>
  <c r="AR39" i="5"/>
  <c r="AA40" i="5"/>
  <c r="AB40" i="5"/>
  <c r="AC40" i="5"/>
  <c r="AD40" i="5"/>
  <c r="AE40" i="5"/>
  <c r="AF40" i="5"/>
  <c r="AG40" i="5"/>
  <c r="AH40" i="5"/>
  <c r="AI40" i="5"/>
  <c r="AJ40" i="5"/>
  <c r="AK40" i="5"/>
  <c r="AL40" i="5"/>
  <c r="AM40" i="5"/>
  <c r="AN40" i="5"/>
  <c r="AO40" i="5"/>
  <c r="AP40" i="5"/>
  <c r="AQ40" i="5"/>
  <c r="AR40" i="5"/>
  <c r="AA41" i="5"/>
  <c r="AB41" i="5"/>
  <c r="AC41" i="5"/>
  <c r="AD41" i="5"/>
  <c r="AE41" i="5"/>
  <c r="AF41" i="5"/>
  <c r="AG41" i="5"/>
  <c r="AH41" i="5"/>
  <c r="AI41" i="5"/>
  <c r="AJ41" i="5"/>
  <c r="AK41" i="5"/>
  <c r="AL41" i="5"/>
  <c r="AM41" i="5"/>
  <c r="AN41" i="5"/>
  <c r="AO41" i="5"/>
  <c r="AP41" i="5"/>
  <c r="AQ41" i="5"/>
  <c r="AR41" i="5"/>
  <c r="AA42" i="5"/>
  <c r="AB42" i="5"/>
  <c r="AC42" i="5"/>
  <c r="AD42" i="5"/>
  <c r="AE42" i="5"/>
  <c r="AF42" i="5"/>
  <c r="AG42" i="5"/>
  <c r="AH42" i="5"/>
  <c r="AI42" i="5"/>
  <c r="AJ42" i="5"/>
  <c r="AK42" i="5"/>
  <c r="AL42" i="5"/>
  <c r="AM42" i="5"/>
  <c r="AN42" i="5"/>
  <c r="AO42" i="5"/>
  <c r="AP42" i="5"/>
  <c r="AQ42" i="5"/>
  <c r="AR42" i="5"/>
  <c r="AA43" i="5"/>
  <c r="AB43" i="5"/>
  <c r="AC43" i="5"/>
  <c r="AD43" i="5"/>
  <c r="AE43" i="5"/>
  <c r="AF43" i="5"/>
  <c r="AG43" i="5"/>
  <c r="AH43" i="5"/>
  <c r="AI43" i="5"/>
  <c r="AJ43" i="5"/>
  <c r="AK43" i="5"/>
  <c r="AL43" i="5"/>
  <c r="AM43" i="5"/>
  <c r="AN43" i="5"/>
  <c r="AO43" i="5"/>
  <c r="AP43" i="5"/>
  <c r="AQ43" i="5"/>
  <c r="AR43" i="5"/>
  <c r="AA44" i="5"/>
  <c r="AB44" i="5"/>
  <c r="AC44" i="5"/>
  <c r="AD44" i="5"/>
  <c r="AE44" i="5"/>
  <c r="AF44" i="5"/>
  <c r="AG44" i="5"/>
  <c r="AH44" i="5"/>
  <c r="AI44" i="5"/>
  <c r="AJ44" i="5"/>
  <c r="AK44" i="5"/>
  <c r="AL44" i="5"/>
  <c r="AM44" i="5"/>
  <c r="AN44" i="5"/>
  <c r="AO44" i="5"/>
  <c r="AP44" i="5"/>
  <c r="AQ44" i="5"/>
  <c r="AR44" i="5"/>
  <c r="AA45" i="5"/>
  <c r="AB45" i="5"/>
  <c r="AC45" i="5"/>
  <c r="AD45" i="5"/>
  <c r="AE45" i="5"/>
  <c r="AF45" i="5"/>
  <c r="AG45" i="5"/>
  <c r="AH45" i="5"/>
  <c r="AI45" i="5"/>
  <c r="AJ45" i="5"/>
  <c r="AK45" i="5"/>
  <c r="AL45" i="5"/>
  <c r="AM45" i="5"/>
  <c r="AN45" i="5"/>
  <c r="AO45" i="5"/>
  <c r="AP45" i="5"/>
  <c r="AQ45" i="5"/>
  <c r="AR45" i="5"/>
  <c r="AL46" i="5"/>
  <c r="AA47" i="5"/>
  <c r="AB47" i="5"/>
  <c r="AC47" i="5"/>
  <c r="AD47" i="5"/>
  <c r="AE47" i="5"/>
  <c r="AF47" i="5"/>
  <c r="AG47" i="5"/>
  <c r="AH47" i="5"/>
  <c r="AI47" i="5"/>
  <c r="AJ47" i="5"/>
  <c r="AK47" i="5"/>
  <c r="AL47" i="5"/>
  <c r="AM47" i="5"/>
  <c r="AN47" i="5"/>
  <c r="AO47" i="5"/>
  <c r="AP47" i="5"/>
  <c r="AQ47" i="5"/>
  <c r="AR47" i="5"/>
  <c r="AA48" i="5"/>
  <c r="AB48" i="5"/>
  <c r="AC48" i="5"/>
  <c r="AD48" i="5"/>
  <c r="AE48" i="5"/>
  <c r="AF48" i="5"/>
  <c r="AG48" i="5"/>
  <c r="AH48" i="5"/>
  <c r="AI48" i="5"/>
  <c r="AJ48" i="5"/>
  <c r="AK48" i="5"/>
  <c r="AL48" i="5"/>
  <c r="AM48" i="5"/>
  <c r="AN48" i="5"/>
  <c r="AO48" i="5"/>
  <c r="AP48" i="5"/>
  <c r="AQ48" i="5"/>
  <c r="AR48" i="5"/>
  <c r="AM49" i="5"/>
  <c r="AA50" i="5"/>
  <c r="AB50" i="5"/>
  <c r="AC50" i="5"/>
  <c r="AD50" i="5"/>
  <c r="AE50" i="5"/>
  <c r="AF50" i="5"/>
  <c r="AG50" i="5"/>
  <c r="AH50" i="5"/>
  <c r="AI50" i="5"/>
  <c r="AJ50" i="5"/>
  <c r="AK50" i="5"/>
  <c r="AL50" i="5"/>
  <c r="AM50" i="5"/>
  <c r="AN50" i="5"/>
  <c r="AO50" i="5"/>
  <c r="AP50" i="5"/>
  <c r="AQ50" i="5"/>
  <c r="AR50" i="5"/>
  <c r="AA51" i="5"/>
  <c r="AB51" i="5"/>
  <c r="AC51" i="5"/>
  <c r="AD51" i="5"/>
  <c r="AE51" i="5"/>
  <c r="AF51" i="5"/>
  <c r="AG51" i="5"/>
  <c r="AH51" i="5"/>
  <c r="AI51" i="5"/>
  <c r="AJ51" i="5"/>
  <c r="AK51" i="5"/>
  <c r="AL51" i="5"/>
  <c r="AM51" i="5"/>
  <c r="AN51" i="5"/>
  <c r="AO51" i="5"/>
  <c r="AP51" i="5"/>
  <c r="AQ51" i="5"/>
  <c r="AR51" i="5"/>
  <c r="AA52" i="5"/>
  <c r="AB52" i="5"/>
  <c r="AC52" i="5"/>
  <c r="AD52" i="5"/>
  <c r="AE52" i="5"/>
  <c r="AF52" i="5"/>
  <c r="AG52" i="5"/>
  <c r="AH52" i="5"/>
  <c r="AI52" i="5"/>
  <c r="AJ52" i="5"/>
  <c r="AK52" i="5"/>
  <c r="AL52" i="5"/>
  <c r="AM52" i="5"/>
  <c r="AN52" i="5"/>
  <c r="AO52" i="5"/>
  <c r="AP52" i="5"/>
  <c r="AQ52" i="5"/>
  <c r="AR52" i="5"/>
  <c r="AA53" i="5"/>
  <c r="AB53" i="5"/>
  <c r="AC53" i="5"/>
  <c r="AD53" i="5"/>
  <c r="AE53" i="5"/>
  <c r="AF53" i="5"/>
  <c r="AG53" i="5"/>
  <c r="AH53" i="5"/>
  <c r="AI53" i="5"/>
  <c r="AJ53" i="5"/>
  <c r="AK53" i="5"/>
  <c r="AL53" i="5"/>
  <c r="AM53" i="5"/>
  <c r="AN53" i="5"/>
  <c r="AO53" i="5"/>
  <c r="AP53" i="5"/>
  <c r="AQ53" i="5"/>
  <c r="AR53" i="5"/>
  <c r="AA54" i="5"/>
  <c r="AB54" i="5"/>
  <c r="AC54" i="5"/>
  <c r="AD54" i="5"/>
  <c r="AE54" i="5"/>
  <c r="AF54" i="5"/>
  <c r="AG54" i="5"/>
  <c r="AH54" i="5"/>
  <c r="AI54" i="5"/>
  <c r="AJ54" i="5"/>
  <c r="AK54" i="5"/>
  <c r="AL54" i="5"/>
  <c r="AM54" i="5"/>
  <c r="AN54" i="5"/>
  <c r="AO54" i="5"/>
  <c r="AP54" i="5"/>
  <c r="AQ54" i="5"/>
  <c r="AR54" i="5"/>
  <c r="AA55" i="5"/>
  <c r="AB55" i="5"/>
  <c r="AC55" i="5"/>
  <c r="AD55" i="5"/>
  <c r="AE55" i="5"/>
  <c r="AF55" i="5"/>
  <c r="AG55" i="5"/>
  <c r="AH55" i="5"/>
  <c r="AI55" i="5"/>
  <c r="AJ55" i="5"/>
  <c r="AK55" i="5"/>
  <c r="AL55" i="5"/>
  <c r="AM55" i="5"/>
  <c r="AN55" i="5"/>
  <c r="AO55" i="5"/>
  <c r="AP55" i="5"/>
  <c r="AQ55" i="5"/>
  <c r="AR55" i="5"/>
  <c r="AA56" i="5"/>
  <c r="AB56" i="5"/>
  <c r="AC56" i="5"/>
  <c r="AD56" i="5"/>
  <c r="AE56" i="5"/>
  <c r="AF56" i="5"/>
  <c r="AG56" i="5"/>
  <c r="AH56" i="5"/>
  <c r="AI56" i="5"/>
  <c r="AJ56" i="5"/>
  <c r="AK56" i="5"/>
  <c r="AL56" i="5"/>
  <c r="AM56" i="5"/>
  <c r="AN56" i="5"/>
  <c r="AO56" i="5"/>
  <c r="AP56" i="5"/>
  <c r="AQ56" i="5"/>
  <c r="AR56" i="5"/>
  <c r="AA57" i="5"/>
  <c r="AB57" i="5"/>
  <c r="AC57" i="5"/>
  <c r="AD57" i="5"/>
  <c r="AE57" i="5"/>
  <c r="AF57" i="5"/>
  <c r="AG57" i="5"/>
  <c r="AH57" i="5"/>
  <c r="AI57" i="5"/>
  <c r="AJ57" i="5"/>
  <c r="AK57" i="5"/>
  <c r="AL57" i="5"/>
  <c r="AM57" i="5"/>
  <c r="AN57" i="5"/>
  <c r="AO57" i="5"/>
  <c r="AP57" i="5"/>
  <c r="AQ57" i="5"/>
  <c r="AR57" i="5"/>
  <c r="AA58" i="5"/>
  <c r="AB58" i="5"/>
  <c r="AC58" i="5"/>
  <c r="AD58" i="5"/>
  <c r="AE58" i="5"/>
  <c r="AF58" i="5"/>
  <c r="AG58" i="5"/>
  <c r="AH58" i="5"/>
  <c r="AI58" i="5"/>
  <c r="AJ58" i="5"/>
  <c r="AK58" i="5"/>
  <c r="AL58" i="5"/>
  <c r="AM58" i="5"/>
  <c r="AN58" i="5"/>
  <c r="AO58" i="5"/>
  <c r="AP58" i="5"/>
  <c r="AQ58" i="5"/>
  <c r="AR58" i="5"/>
  <c r="AA59" i="5"/>
  <c r="AB59" i="5"/>
  <c r="AC59" i="5"/>
  <c r="AD59" i="5"/>
  <c r="AE59" i="5"/>
  <c r="AF59" i="5"/>
  <c r="AG59" i="5"/>
  <c r="AH59" i="5"/>
  <c r="AI59" i="5"/>
  <c r="AJ59" i="5"/>
  <c r="AK59" i="5"/>
  <c r="AL59" i="5"/>
  <c r="AM59" i="5"/>
  <c r="AN59" i="5"/>
  <c r="AO59" i="5"/>
  <c r="AP59" i="5"/>
  <c r="AQ59" i="5"/>
  <c r="AR59" i="5"/>
  <c r="AA60" i="5"/>
  <c r="AB60" i="5"/>
  <c r="AC60" i="5"/>
  <c r="AD60" i="5"/>
  <c r="AE60" i="5"/>
  <c r="AF60" i="5"/>
  <c r="AG60" i="5"/>
  <c r="AH60" i="5"/>
  <c r="AI60" i="5"/>
  <c r="AJ60" i="5"/>
  <c r="AK60" i="5"/>
  <c r="AL60" i="5"/>
  <c r="AM60" i="5"/>
  <c r="AN60" i="5"/>
  <c r="AO60" i="5"/>
  <c r="AP60" i="5"/>
  <c r="AQ60" i="5"/>
  <c r="AR60" i="5"/>
  <c r="AA61" i="5"/>
  <c r="AB61" i="5"/>
  <c r="AC61" i="5"/>
  <c r="AD61" i="5"/>
  <c r="AE61" i="5"/>
  <c r="AF61" i="5"/>
  <c r="AG61" i="5"/>
  <c r="AH61" i="5"/>
  <c r="AI61" i="5"/>
  <c r="AJ61" i="5"/>
  <c r="AK61" i="5"/>
  <c r="AL61" i="5"/>
  <c r="AM61" i="5"/>
  <c r="AN61" i="5"/>
  <c r="AO61" i="5"/>
  <c r="AP61" i="5"/>
  <c r="AQ61" i="5"/>
  <c r="AR61" i="5"/>
  <c r="AA5" i="5"/>
  <c r="AB5" i="5"/>
  <c r="AC5" i="5"/>
  <c r="AD5" i="5"/>
  <c r="AE5" i="5"/>
  <c r="AF5" i="5"/>
  <c r="AG5" i="5"/>
  <c r="AH5" i="5"/>
  <c r="AI5" i="5"/>
  <c r="AJ5" i="5"/>
  <c r="AK5" i="5"/>
  <c r="AL5" i="5"/>
  <c r="AM5" i="5"/>
  <c r="AN5" i="5"/>
  <c r="AO5" i="5"/>
  <c r="AP5" i="5"/>
  <c r="AQ5" i="5"/>
  <c r="AR5" i="5"/>
  <c r="AA6" i="5"/>
  <c r="AB6" i="5"/>
  <c r="AC6" i="5"/>
  <c r="AD6" i="5"/>
  <c r="AE6" i="5"/>
  <c r="AF6" i="5"/>
  <c r="AG6" i="5"/>
  <c r="AH6" i="5"/>
  <c r="AI6" i="5"/>
  <c r="AJ6" i="5"/>
  <c r="AK6" i="5"/>
  <c r="AL6" i="5"/>
  <c r="AM6" i="5"/>
  <c r="AN6" i="5"/>
  <c r="AO6" i="5"/>
  <c r="AP6" i="5"/>
  <c r="AQ6" i="5"/>
  <c r="AR6" i="5"/>
  <c r="AA7" i="5"/>
  <c r="AB7" i="5"/>
  <c r="AC7" i="5"/>
  <c r="AD7" i="5"/>
  <c r="AE7" i="5"/>
  <c r="AF7" i="5"/>
  <c r="AG7" i="5"/>
  <c r="AH7" i="5"/>
  <c r="AI7" i="5"/>
  <c r="AJ7" i="5"/>
  <c r="AK7" i="5"/>
  <c r="AL7" i="5"/>
  <c r="AM7" i="5"/>
  <c r="AN7" i="5"/>
  <c r="AO7" i="5"/>
  <c r="AP7" i="5"/>
  <c r="AQ7" i="5"/>
  <c r="AR7" i="5"/>
  <c r="AA8" i="5"/>
  <c r="AB8" i="5"/>
  <c r="AC8" i="5"/>
  <c r="AD8" i="5"/>
  <c r="AE8" i="5"/>
  <c r="AF8" i="5"/>
  <c r="AG8" i="5"/>
  <c r="AH8" i="5"/>
  <c r="AI8" i="5"/>
  <c r="AJ8" i="5"/>
  <c r="AK8" i="5"/>
  <c r="AL8" i="5"/>
  <c r="AM8" i="5"/>
  <c r="AN8" i="5"/>
  <c r="AO8" i="5"/>
  <c r="AP8" i="5"/>
  <c r="AQ8" i="5"/>
  <c r="AR8" i="5"/>
  <c r="AD4" i="5"/>
  <c r="AE4" i="5"/>
  <c r="AF4" i="5"/>
  <c r="AG4" i="5"/>
  <c r="AH4" i="5"/>
  <c r="AI4" i="5"/>
  <c r="AJ4" i="5"/>
  <c r="AK4" i="5"/>
  <c r="AL4" i="5"/>
  <c r="AM4" i="5"/>
  <c r="AN4" i="5"/>
  <c r="AO4" i="5"/>
  <c r="AP4" i="5"/>
  <c r="AQ4" i="5"/>
  <c r="AR4" i="5"/>
  <c r="AA4" i="5"/>
  <c r="AB4" i="5"/>
  <c r="AC4" i="5"/>
  <c r="O12" i="5" l="1"/>
  <c r="S12" i="5"/>
  <c r="BI23" i="12" l="1"/>
  <c r="O60" i="5"/>
  <c r="S60" i="5"/>
  <c r="O62" i="5" l="1"/>
  <c r="S62" i="5"/>
  <c r="BG62" i="12" l="1"/>
  <c r="BI62" i="12"/>
  <c r="BJ62" i="12"/>
  <c r="BK62" i="12"/>
  <c r="BL62" i="12"/>
  <c r="E61" i="12"/>
  <c r="F61" i="12"/>
  <c r="G61" i="12"/>
  <c r="H61" i="12"/>
  <c r="I61" i="12"/>
  <c r="E62" i="12"/>
  <c r="F62" i="12"/>
  <c r="G62" i="12"/>
  <c r="H62" i="12"/>
  <c r="I62" i="12"/>
  <c r="K60" i="12"/>
  <c r="L60" i="12"/>
  <c r="M60" i="12"/>
  <c r="N60" i="12"/>
  <c r="O60" i="12"/>
  <c r="P60" i="12"/>
  <c r="K61" i="12"/>
  <c r="L61" i="12"/>
  <c r="M61" i="12"/>
  <c r="N61" i="12"/>
  <c r="O61" i="12"/>
  <c r="P61" i="12"/>
  <c r="K62" i="12"/>
  <c r="L62" i="12"/>
  <c r="M62" i="12"/>
  <c r="N62" i="12"/>
  <c r="O62" i="12"/>
  <c r="P62" i="12"/>
  <c r="AS22" i="12" l="1"/>
  <c r="BL61" i="12" l="1"/>
  <c r="BK61" i="12"/>
  <c r="BJ61" i="12"/>
  <c r="BI61" i="12"/>
  <c r="BG61" i="12"/>
  <c r="AS61" i="12"/>
  <c r="AR61" i="12"/>
  <c r="A50" i="5" l="1"/>
  <c r="AR51" i="12"/>
  <c r="AR60" i="12"/>
  <c r="BI60" i="12"/>
  <c r="BJ60" i="12"/>
  <c r="BK60" i="12"/>
  <c r="BL60" i="12"/>
  <c r="E60" i="12"/>
  <c r="F60" i="12"/>
  <c r="G60" i="12"/>
  <c r="H60" i="12"/>
  <c r="I60" i="12"/>
  <c r="Q84" i="12"/>
  <c r="AS25" i="12"/>
  <c r="S27" i="5"/>
  <c r="BD27" i="12"/>
  <c r="O27" i="5" s="1"/>
  <c r="K5" i="12"/>
  <c r="K6" i="12"/>
  <c r="K7" i="12"/>
  <c r="K8" i="12"/>
  <c r="K9" i="12"/>
  <c r="K10" i="12"/>
  <c r="K11"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4" i="12"/>
  <c r="O5" i="5"/>
  <c r="S5" i="5"/>
  <c r="O6" i="5"/>
  <c r="S6" i="5"/>
  <c r="O7" i="5"/>
  <c r="S7" i="5"/>
  <c r="O8" i="5"/>
  <c r="S8" i="5"/>
  <c r="O9" i="5"/>
  <c r="S9" i="5"/>
  <c r="O10" i="5"/>
  <c r="S10" i="5"/>
  <c r="O11" i="5"/>
  <c r="S11" i="5"/>
  <c r="O13" i="5"/>
  <c r="S13" i="5"/>
  <c r="O14" i="5"/>
  <c r="S14" i="5"/>
  <c r="O15" i="5"/>
  <c r="O16" i="5"/>
  <c r="S16" i="5"/>
  <c r="O17" i="5"/>
  <c r="S17" i="5"/>
  <c r="O18" i="5"/>
  <c r="S18" i="5"/>
  <c r="O19" i="5"/>
  <c r="S19" i="5"/>
  <c r="O20" i="5"/>
  <c r="S20" i="5"/>
  <c r="O21" i="5"/>
  <c r="S21" i="5"/>
  <c r="O22" i="5"/>
  <c r="S22" i="5"/>
  <c r="O23" i="5"/>
  <c r="S23" i="5"/>
  <c r="O24" i="5"/>
  <c r="S24" i="5"/>
  <c r="O25" i="5"/>
  <c r="S25" i="5"/>
  <c r="O26" i="5"/>
  <c r="S26" i="5"/>
  <c r="O28" i="5"/>
  <c r="S28" i="5"/>
  <c r="O30" i="5"/>
  <c r="S30" i="5"/>
  <c r="O31" i="5"/>
  <c r="S31" i="5"/>
  <c r="O32" i="5"/>
  <c r="S32" i="5"/>
  <c r="O33" i="5"/>
  <c r="S33" i="5"/>
  <c r="O34" i="5"/>
  <c r="S34" i="5"/>
  <c r="O35" i="5"/>
  <c r="S35" i="5"/>
  <c r="O36" i="5"/>
  <c r="S36" i="5"/>
  <c r="O37" i="5"/>
  <c r="S37" i="5"/>
  <c r="O38" i="5"/>
  <c r="S38" i="5"/>
  <c r="O39" i="5"/>
  <c r="S39" i="5"/>
  <c r="O40" i="5"/>
  <c r="S40" i="5"/>
  <c r="O41" i="5"/>
  <c r="S41" i="5"/>
  <c r="O42" i="5"/>
  <c r="S42" i="5"/>
  <c r="O43" i="5"/>
  <c r="S43" i="5"/>
  <c r="O44" i="5"/>
  <c r="S44" i="5"/>
  <c r="O45" i="5"/>
  <c r="S45" i="5"/>
  <c r="O46" i="5"/>
  <c r="S46" i="5"/>
  <c r="O47" i="5"/>
  <c r="S47" i="5"/>
  <c r="O48" i="5"/>
  <c r="S48" i="5"/>
  <c r="O49" i="5"/>
  <c r="S49" i="5"/>
  <c r="O51" i="5"/>
  <c r="O52" i="5"/>
  <c r="S52" i="5"/>
  <c r="O53" i="5"/>
  <c r="S53" i="5"/>
  <c r="O54" i="5"/>
  <c r="S54" i="5"/>
  <c r="O55" i="5"/>
  <c r="S55" i="5"/>
  <c r="O56" i="5"/>
  <c r="S56" i="5"/>
  <c r="O57" i="5"/>
  <c r="S57" i="5"/>
  <c r="O58" i="5"/>
  <c r="S58" i="5"/>
  <c r="O59" i="5"/>
  <c r="S59" i="5"/>
  <c r="S4" i="5"/>
  <c r="O4" i="5"/>
  <c r="BG55" i="12"/>
  <c r="BI55" i="12"/>
  <c r="BJ55" i="12"/>
  <c r="BK55" i="12"/>
  <c r="BL55" i="12"/>
  <c r="BG56" i="12"/>
  <c r="BI56" i="12"/>
  <c r="BK56" i="12"/>
  <c r="BL56" i="12"/>
  <c r="BG58" i="12"/>
  <c r="BJ58" i="12"/>
  <c r="BK58" i="12"/>
  <c r="BL58" i="12"/>
  <c r="BG59" i="12"/>
  <c r="BI59" i="12"/>
  <c r="BJ59" i="12"/>
  <c r="BK59" i="12"/>
  <c r="BL59" i="12"/>
  <c r="AR55" i="12"/>
  <c r="AS55" i="12"/>
  <c r="AR56" i="12"/>
  <c r="AS57" i="12"/>
  <c r="AS58" i="12"/>
  <c r="AR59" i="12"/>
  <c r="AS59" i="12"/>
  <c r="L55" i="12"/>
  <c r="M55" i="12"/>
  <c r="N55" i="12"/>
  <c r="O55" i="12"/>
  <c r="P55" i="12"/>
  <c r="L56" i="12"/>
  <c r="M56" i="12"/>
  <c r="N56" i="12"/>
  <c r="O56" i="12"/>
  <c r="P56" i="12"/>
  <c r="L57" i="12"/>
  <c r="M57" i="12"/>
  <c r="N57" i="12"/>
  <c r="O57" i="12"/>
  <c r="P57" i="12"/>
  <c r="L58" i="12"/>
  <c r="M58" i="12"/>
  <c r="N58" i="12"/>
  <c r="O58" i="12"/>
  <c r="P58" i="12"/>
  <c r="L59" i="12"/>
  <c r="M59" i="12"/>
  <c r="N59" i="12"/>
  <c r="O59" i="12"/>
  <c r="P59" i="12"/>
  <c r="E55" i="12"/>
  <c r="F55" i="12"/>
  <c r="G55" i="12"/>
  <c r="H55" i="12"/>
  <c r="I55" i="12"/>
  <c r="E56" i="12"/>
  <c r="F56" i="12"/>
  <c r="G56" i="12"/>
  <c r="H56" i="12"/>
  <c r="I56" i="12"/>
  <c r="E57" i="12"/>
  <c r="F57" i="12"/>
  <c r="G57" i="12"/>
  <c r="H57" i="12"/>
  <c r="I57" i="12"/>
  <c r="E58" i="12"/>
  <c r="F58" i="12"/>
  <c r="G58" i="12"/>
  <c r="H58" i="12"/>
  <c r="I58" i="12"/>
  <c r="E59" i="12"/>
  <c r="F59" i="12"/>
  <c r="G59" i="12"/>
  <c r="H59" i="12"/>
  <c r="I59" i="12"/>
  <c r="BG4" i="12"/>
  <c r="BI4" i="12"/>
  <c r="BJ4" i="12"/>
  <c r="BK4" i="12"/>
  <c r="BL4" i="12"/>
  <c r="BG5" i="12"/>
  <c r="BI5" i="12"/>
  <c r="BJ5" i="12"/>
  <c r="BK5" i="12"/>
  <c r="BL5" i="12"/>
  <c r="BG6" i="12"/>
  <c r="BI6" i="12"/>
  <c r="BJ6" i="12"/>
  <c r="BK6" i="12"/>
  <c r="BL6" i="12"/>
  <c r="BG7" i="12"/>
  <c r="BI7" i="12"/>
  <c r="BJ7" i="12"/>
  <c r="BK7" i="12"/>
  <c r="BL7" i="12"/>
  <c r="BG8" i="12"/>
  <c r="BI8" i="12"/>
  <c r="BJ8" i="12"/>
  <c r="BK8" i="12"/>
  <c r="BL8" i="12"/>
  <c r="BG9" i="12"/>
  <c r="BI9" i="12"/>
  <c r="BJ9" i="12"/>
  <c r="BK9" i="12"/>
  <c r="BL9" i="12"/>
  <c r="BG10" i="12"/>
  <c r="BI10" i="12"/>
  <c r="BJ10" i="12"/>
  <c r="BK10" i="12"/>
  <c r="BL10" i="12"/>
  <c r="BG11" i="12"/>
  <c r="BI11" i="12"/>
  <c r="BJ11" i="12"/>
  <c r="BK11" i="12"/>
  <c r="BL11" i="12"/>
  <c r="BG12" i="12"/>
  <c r="BI12" i="12"/>
  <c r="BJ12" i="12"/>
  <c r="BL12" i="12"/>
  <c r="BG13" i="12"/>
  <c r="BI13" i="12"/>
  <c r="BJ13" i="12"/>
  <c r="BK13" i="12"/>
  <c r="BL13" i="12"/>
  <c r="BG14" i="12"/>
  <c r="BI14" i="12"/>
  <c r="BK14" i="12"/>
  <c r="BL14" i="12"/>
  <c r="BG15" i="12"/>
  <c r="BI15" i="12"/>
  <c r="BJ15" i="12"/>
  <c r="BK15" i="12"/>
  <c r="BL15" i="12"/>
  <c r="BG16" i="12"/>
  <c r="BI16" i="12"/>
  <c r="BJ16" i="12"/>
  <c r="BK16" i="12"/>
  <c r="BL16" i="12"/>
  <c r="BG17" i="12"/>
  <c r="BI17" i="12"/>
  <c r="BJ17" i="12"/>
  <c r="BK17" i="12"/>
  <c r="BL17" i="12"/>
  <c r="BG18" i="12"/>
  <c r="BI18" i="12"/>
  <c r="BJ18" i="12"/>
  <c r="BL18" i="12"/>
  <c r="BG19" i="12"/>
  <c r="BI19" i="12"/>
  <c r="BJ19" i="12"/>
  <c r="BK19" i="12"/>
  <c r="BL19" i="12"/>
  <c r="BG20" i="12"/>
  <c r="BI20" i="12"/>
  <c r="BJ20" i="12"/>
  <c r="BK20" i="12"/>
  <c r="BL20" i="12"/>
  <c r="BG21" i="12"/>
  <c r="BI21" i="12"/>
  <c r="BJ21" i="12"/>
  <c r="BK21" i="12"/>
  <c r="BL21" i="12"/>
  <c r="BG22" i="12"/>
  <c r="BI22" i="12"/>
  <c r="BJ22" i="12"/>
  <c r="BK22" i="12"/>
  <c r="BL22" i="12"/>
  <c r="BG23" i="12"/>
  <c r="BJ23" i="12"/>
  <c r="BK23" i="12"/>
  <c r="BL23" i="12"/>
  <c r="BG24" i="12"/>
  <c r="BI24" i="12"/>
  <c r="BJ24" i="12"/>
  <c r="BK24" i="12"/>
  <c r="BL24" i="12"/>
  <c r="BG25" i="12"/>
  <c r="BI25" i="12"/>
  <c r="BJ25" i="12"/>
  <c r="BK25" i="12"/>
  <c r="BL25" i="12"/>
  <c r="BG26" i="12"/>
  <c r="BI26" i="12"/>
  <c r="BJ26" i="12"/>
  <c r="BK26" i="12"/>
  <c r="BL26" i="12"/>
  <c r="BG27" i="12"/>
  <c r="BI27" i="12"/>
  <c r="BJ27" i="12"/>
  <c r="BK27" i="12"/>
  <c r="BL27" i="12"/>
  <c r="BG28" i="12"/>
  <c r="BI28" i="12"/>
  <c r="BJ28" i="12"/>
  <c r="BK28" i="12"/>
  <c r="BL28" i="12"/>
  <c r="BG29" i="12"/>
  <c r="BI29" i="12"/>
  <c r="BK29" i="12"/>
  <c r="BL29" i="12"/>
  <c r="BG30" i="12"/>
  <c r="BI30" i="12"/>
  <c r="BJ30" i="12"/>
  <c r="BK30" i="12"/>
  <c r="BL30" i="12"/>
  <c r="BI31" i="12"/>
  <c r="BJ31" i="12"/>
  <c r="BK31" i="12"/>
  <c r="BL31" i="12"/>
  <c r="BG32" i="12"/>
  <c r="BI32" i="12"/>
  <c r="BJ32" i="12"/>
  <c r="BK32" i="12"/>
  <c r="BL32" i="12"/>
  <c r="BG33" i="12"/>
  <c r="BI33" i="12"/>
  <c r="BJ33" i="12"/>
  <c r="BK33" i="12"/>
  <c r="BL33" i="12"/>
  <c r="BG34" i="12"/>
  <c r="BI34" i="12"/>
  <c r="BJ34" i="12"/>
  <c r="BK34" i="12"/>
  <c r="BL34" i="12"/>
  <c r="BG35" i="12"/>
  <c r="BI35" i="12"/>
  <c r="BJ35" i="12"/>
  <c r="BK35" i="12"/>
  <c r="BL35" i="12"/>
  <c r="BG36" i="12"/>
  <c r="BI36" i="12"/>
  <c r="BJ36" i="12"/>
  <c r="BK36" i="12"/>
  <c r="BL36" i="12"/>
  <c r="BG37" i="12"/>
  <c r="BI37" i="12"/>
  <c r="BJ37" i="12"/>
  <c r="BK37" i="12"/>
  <c r="BL37" i="12"/>
  <c r="BG38" i="12"/>
  <c r="BI38" i="12"/>
  <c r="BJ38" i="12"/>
  <c r="BK38" i="12"/>
  <c r="BL38" i="12"/>
  <c r="BG39" i="12"/>
  <c r="BI39" i="12"/>
  <c r="BJ39" i="12"/>
  <c r="BK39" i="12"/>
  <c r="BL39" i="12"/>
  <c r="BG40" i="12"/>
  <c r="BI40" i="12"/>
  <c r="BJ40" i="12"/>
  <c r="BK40" i="12"/>
  <c r="BL40" i="12"/>
  <c r="BG41" i="12"/>
  <c r="BI41" i="12"/>
  <c r="BJ41" i="12"/>
  <c r="BK41" i="12"/>
  <c r="BL41" i="12"/>
  <c r="BG42" i="12"/>
  <c r="BI42" i="12"/>
  <c r="BJ42" i="12"/>
  <c r="BK42" i="12"/>
  <c r="BL42" i="12"/>
  <c r="BG43" i="12"/>
  <c r="BI43" i="12"/>
  <c r="BJ43" i="12"/>
  <c r="BK43" i="12"/>
  <c r="BL43" i="12"/>
  <c r="BG44" i="12"/>
  <c r="BJ44" i="12"/>
  <c r="BK44" i="12"/>
  <c r="BL44" i="12"/>
  <c r="BG45" i="12"/>
  <c r="BI45" i="12"/>
  <c r="BJ45" i="12"/>
  <c r="BK45" i="12"/>
  <c r="BL45" i="12"/>
  <c r="BG46" i="12"/>
  <c r="BJ46" i="12"/>
  <c r="BK46" i="12"/>
  <c r="BL46" i="12"/>
  <c r="BG47" i="12"/>
  <c r="BI47" i="12"/>
  <c r="BJ47" i="12"/>
  <c r="BK47" i="12"/>
  <c r="BL47" i="12"/>
  <c r="BG48" i="12"/>
  <c r="BI48" i="12"/>
  <c r="BJ48" i="12"/>
  <c r="BK48" i="12"/>
  <c r="BL48" i="12"/>
  <c r="BI49" i="12"/>
  <c r="BJ49" i="12"/>
  <c r="BK49" i="12"/>
  <c r="BL49" i="12"/>
  <c r="BG50" i="12"/>
  <c r="BI50" i="12"/>
  <c r="BJ50" i="12"/>
  <c r="BK50" i="12"/>
  <c r="BL50" i="12"/>
  <c r="BL51" i="12"/>
  <c r="BG52" i="12"/>
  <c r="BI52" i="12"/>
  <c r="BJ52" i="12"/>
  <c r="BK52" i="12"/>
  <c r="BL52" i="12"/>
  <c r="BG53" i="12"/>
  <c r="BI53" i="12"/>
  <c r="BJ53" i="12"/>
  <c r="BK53" i="12"/>
  <c r="BL53" i="12"/>
  <c r="BG54" i="12"/>
  <c r="BI54" i="12"/>
  <c r="BJ54" i="12"/>
  <c r="BK54" i="12"/>
  <c r="BL54" i="12"/>
  <c r="AR4" i="12"/>
  <c r="AS4" i="12"/>
  <c r="AR5" i="12"/>
  <c r="AS5" i="12"/>
  <c r="AR6" i="12"/>
  <c r="AS6" i="12"/>
  <c r="AR7" i="12"/>
  <c r="AS7" i="12"/>
  <c r="AR8" i="12"/>
  <c r="AS8" i="12"/>
  <c r="AR9" i="12"/>
  <c r="AS9" i="12"/>
  <c r="AR10" i="12"/>
  <c r="AS10" i="12"/>
  <c r="AR11" i="12"/>
  <c r="AS11" i="12"/>
  <c r="AR12" i="12"/>
  <c r="AS12" i="12"/>
  <c r="AR13" i="12"/>
  <c r="AS13" i="12"/>
  <c r="AR14" i="12"/>
  <c r="AS14" i="12"/>
  <c r="AR15" i="12"/>
  <c r="AS15" i="12"/>
  <c r="AR16" i="12"/>
  <c r="AS16" i="12"/>
  <c r="AR17" i="12"/>
  <c r="AS17" i="12"/>
  <c r="AR18" i="12"/>
  <c r="AS18" i="12"/>
  <c r="AR19" i="12"/>
  <c r="AS19" i="12"/>
  <c r="AR20" i="12"/>
  <c r="AS20" i="12"/>
  <c r="AR21" i="12"/>
  <c r="AS21" i="12"/>
  <c r="AR22" i="12"/>
  <c r="AR23" i="12"/>
  <c r="AS23" i="12"/>
  <c r="AR24" i="12"/>
  <c r="AS24" i="12"/>
  <c r="AR25" i="12"/>
  <c r="AR26" i="12"/>
  <c r="AR27" i="12"/>
  <c r="AR28" i="12"/>
  <c r="AS28" i="12"/>
  <c r="AR29" i="12"/>
  <c r="AS29" i="12"/>
  <c r="AR30" i="12"/>
  <c r="AS30" i="12"/>
  <c r="AS31" i="12"/>
  <c r="AR32" i="12"/>
  <c r="AS32" i="12"/>
  <c r="AR33" i="12"/>
  <c r="AS33" i="12"/>
  <c r="AR34" i="12"/>
  <c r="AS34" i="12"/>
  <c r="AR35" i="12"/>
  <c r="AS35" i="12"/>
  <c r="AR36" i="12"/>
  <c r="AS36" i="12"/>
  <c r="AR37" i="12"/>
  <c r="AS37" i="12"/>
  <c r="AR38" i="12"/>
  <c r="AS38" i="12"/>
  <c r="AR39" i="12"/>
  <c r="AS39" i="12"/>
  <c r="AR40" i="12"/>
  <c r="AS40" i="12"/>
  <c r="AR41" i="12"/>
  <c r="AS41" i="12"/>
  <c r="AR42" i="12"/>
  <c r="AS42" i="12"/>
  <c r="AR43" i="12"/>
  <c r="AS43" i="12"/>
  <c r="AR44" i="12"/>
  <c r="AS44" i="12"/>
  <c r="AR45" i="12"/>
  <c r="AS45" i="12"/>
  <c r="AR46" i="12"/>
  <c r="AS46" i="12"/>
  <c r="AR47" i="12"/>
  <c r="AS47" i="12"/>
  <c r="AR48" i="12"/>
  <c r="AS48" i="12"/>
  <c r="AR49" i="12"/>
  <c r="AR50" i="12"/>
  <c r="AS50" i="12"/>
  <c r="AS51" i="12"/>
  <c r="AR52" i="12"/>
  <c r="AS52" i="12"/>
  <c r="AR53" i="12"/>
  <c r="AS53" i="12"/>
  <c r="AR54" i="12"/>
  <c r="L4" i="12"/>
  <c r="M4" i="12"/>
  <c r="N4" i="12"/>
  <c r="O4" i="12"/>
  <c r="P4" i="12"/>
  <c r="L5" i="12"/>
  <c r="M5" i="12"/>
  <c r="N5" i="12"/>
  <c r="O5" i="12"/>
  <c r="P5" i="12"/>
  <c r="L6" i="12"/>
  <c r="M6" i="12"/>
  <c r="N6" i="12"/>
  <c r="O6" i="12"/>
  <c r="P6" i="12"/>
  <c r="L7" i="12"/>
  <c r="M7" i="12"/>
  <c r="N7" i="12"/>
  <c r="O7" i="12"/>
  <c r="P7" i="12"/>
  <c r="L8" i="12"/>
  <c r="M8" i="12"/>
  <c r="N8" i="12"/>
  <c r="O8" i="12"/>
  <c r="P8" i="12"/>
  <c r="L9" i="12"/>
  <c r="M9" i="12"/>
  <c r="N9" i="12"/>
  <c r="O9" i="12"/>
  <c r="P9" i="12"/>
  <c r="L10" i="12"/>
  <c r="M10" i="12"/>
  <c r="N10" i="12"/>
  <c r="O10" i="12"/>
  <c r="P10" i="12"/>
  <c r="L11" i="12"/>
  <c r="M11" i="12"/>
  <c r="N11" i="12"/>
  <c r="O11" i="12"/>
  <c r="P11" i="12"/>
  <c r="L12" i="12"/>
  <c r="M12" i="12"/>
  <c r="N12" i="12"/>
  <c r="O12" i="12"/>
  <c r="L13" i="12"/>
  <c r="M13" i="12"/>
  <c r="N13" i="12"/>
  <c r="O13" i="12"/>
  <c r="P13" i="12"/>
  <c r="L14" i="12"/>
  <c r="M14" i="12"/>
  <c r="N14" i="12"/>
  <c r="O14" i="12"/>
  <c r="P14" i="12"/>
  <c r="L15" i="12"/>
  <c r="M15" i="12"/>
  <c r="N15" i="12"/>
  <c r="O15" i="12"/>
  <c r="P15" i="12"/>
  <c r="L16" i="12"/>
  <c r="M16" i="12"/>
  <c r="N16" i="12"/>
  <c r="O16" i="12"/>
  <c r="P16" i="12"/>
  <c r="L17" i="12"/>
  <c r="M17" i="12"/>
  <c r="N17" i="12"/>
  <c r="O17" i="12"/>
  <c r="P17" i="12"/>
  <c r="L18" i="12"/>
  <c r="M18" i="12"/>
  <c r="N18" i="12"/>
  <c r="O18" i="12"/>
  <c r="P18" i="12"/>
  <c r="L19" i="12"/>
  <c r="M19" i="12"/>
  <c r="N19" i="12"/>
  <c r="O19" i="12"/>
  <c r="P19" i="12"/>
  <c r="L20" i="12"/>
  <c r="M20" i="12"/>
  <c r="N20" i="12"/>
  <c r="O20" i="12"/>
  <c r="P20" i="12"/>
  <c r="L21" i="12"/>
  <c r="M21" i="12"/>
  <c r="N21" i="12"/>
  <c r="O21" i="12"/>
  <c r="P21" i="12"/>
  <c r="L22" i="12"/>
  <c r="M22" i="12"/>
  <c r="N22" i="12"/>
  <c r="O22" i="12"/>
  <c r="P22" i="12"/>
  <c r="L23" i="12"/>
  <c r="M23" i="12"/>
  <c r="N23" i="12"/>
  <c r="O23" i="12"/>
  <c r="P23" i="12"/>
  <c r="L24" i="12"/>
  <c r="M24" i="12"/>
  <c r="N24" i="12"/>
  <c r="O24" i="12"/>
  <c r="P24" i="12"/>
  <c r="L25" i="12"/>
  <c r="M25" i="12"/>
  <c r="N25" i="12"/>
  <c r="O25" i="12"/>
  <c r="P25" i="12"/>
  <c r="L26" i="12"/>
  <c r="M26" i="12"/>
  <c r="N26" i="12"/>
  <c r="O26" i="12"/>
  <c r="P26" i="12"/>
  <c r="L27" i="12"/>
  <c r="M27" i="12"/>
  <c r="N27" i="12"/>
  <c r="O27" i="12"/>
  <c r="P27" i="12"/>
  <c r="L28" i="12"/>
  <c r="M28" i="12"/>
  <c r="N28" i="12"/>
  <c r="O28" i="12"/>
  <c r="P28" i="12"/>
  <c r="L29" i="12"/>
  <c r="M29" i="12"/>
  <c r="N29" i="12"/>
  <c r="O29" i="12"/>
  <c r="P29" i="12"/>
  <c r="L30" i="12"/>
  <c r="M30" i="12"/>
  <c r="N30" i="12"/>
  <c r="O30" i="12"/>
  <c r="P30" i="12"/>
  <c r="L31" i="12"/>
  <c r="M31" i="12"/>
  <c r="N31" i="12"/>
  <c r="O31" i="12"/>
  <c r="P31" i="12"/>
  <c r="L32" i="12"/>
  <c r="M32" i="12"/>
  <c r="N32" i="12"/>
  <c r="O32" i="12"/>
  <c r="P32" i="12"/>
  <c r="L33" i="12"/>
  <c r="M33" i="12"/>
  <c r="N33" i="12"/>
  <c r="O33" i="12"/>
  <c r="P33" i="12"/>
  <c r="L34" i="12"/>
  <c r="M34" i="12"/>
  <c r="N34" i="12"/>
  <c r="O34" i="12"/>
  <c r="P34" i="12"/>
  <c r="L35" i="12"/>
  <c r="M35" i="12"/>
  <c r="N35" i="12"/>
  <c r="O35" i="12"/>
  <c r="P35" i="12"/>
  <c r="L36" i="12"/>
  <c r="M36" i="12"/>
  <c r="N36" i="12"/>
  <c r="O36" i="12"/>
  <c r="P36" i="12"/>
  <c r="L37" i="12"/>
  <c r="M37" i="12"/>
  <c r="N37" i="12"/>
  <c r="O37" i="12"/>
  <c r="P37" i="12"/>
  <c r="L38" i="12"/>
  <c r="M38" i="12"/>
  <c r="N38" i="12"/>
  <c r="L39" i="12"/>
  <c r="M39" i="12"/>
  <c r="N39" i="12"/>
  <c r="O39" i="12"/>
  <c r="P39" i="12"/>
  <c r="L40" i="12"/>
  <c r="M40" i="12"/>
  <c r="N40" i="12"/>
  <c r="O40" i="12"/>
  <c r="P40" i="12"/>
  <c r="L41" i="12"/>
  <c r="M41" i="12"/>
  <c r="N41" i="12"/>
  <c r="O41" i="12"/>
  <c r="P41" i="12"/>
  <c r="L42" i="12"/>
  <c r="M42" i="12"/>
  <c r="N42" i="12"/>
  <c r="O42" i="12"/>
  <c r="P42" i="12"/>
  <c r="L43" i="12"/>
  <c r="M43" i="12"/>
  <c r="N43" i="12"/>
  <c r="O43" i="12"/>
  <c r="P43" i="12"/>
  <c r="L44" i="12"/>
  <c r="M44" i="12"/>
  <c r="N44" i="12"/>
  <c r="O44" i="12"/>
  <c r="P44" i="12"/>
  <c r="L45" i="12"/>
  <c r="M45" i="12"/>
  <c r="N45" i="12"/>
  <c r="O45" i="12"/>
  <c r="P45" i="12"/>
  <c r="L46" i="12"/>
  <c r="M46" i="12"/>
  <c r="N46" i="12"/>
  <c r="O46" i="12"/>
  <c r="P46" i="12"/>
  <c r="L47" i="12"/>
  <c r="M47" i="12"/>
  <c r="N47" i="12"/>
  <c r="O47" i="12"/>
  <c r="P47" i="12"/>
  <c r="L48" i="12"/>
  <c r="M48" i="12"/>
  <c r="N48" i="12"/>
  <c r="O48" i="12"/>
  <c r="P48" i="12"/>
  <c r="L49" i="12"/>
  <c r="M49" i="12"/>
  <c r="N49" i="12"/>
  <c r="O49" i="12"/>
  <c r="P49" i="12"/>
  <c r="L50" i="12"/>
  <c r="M50" i="12"/>
  <c r="N50" i="12"/>
  <c r="O50" i="12"/>
  <c r="P50" i="12"/>
  <c r="L51" i="12"/>
  <c r="M51" i="12"/>
  <c r="N51" i="12"/>
  <c r="O51" i="12"/>
  <c r="P51" i="12"/>
  <c r="L52" i="12"/>
  <c r="M52" i="12"/>
  <c r="N52" i="12"/>
  <c r="O52" i="12"/>
  <c r="P52" i="12"/>
  <c r="L53" i="12"/>
  <c r="M53" i="12"/>
  <c r="N53" i="12"/>
  <c r="O53" i="12"/>
  <c r="P53" i="12"/>
  <c r="L54" i="12"/>
  <c r="M54" i="12"/>
  <c r="N54" i="12"/>
  <c r="O54" i="12"/>
  <c r="P54" i="12"/>
  <c r="E4" i="12"/>
  <c r="F4" i="12"/>
  <c r="G4" i="12"/>
  <c r="H4" i="12"/>
  <c r="I4" i="12"/>
  <c r="E5" i="12"/>
  <c r="F5" i="12"/>
  <c r="G5" i="12"/>
  <c r="H5" i="12"/>
  <c r="I5" i="12"/>
  <c r="E6" i="12"/>
  <c r="F6" i="12"/>
  <c r="G6" i="12"/>
  <c r="H6" i="12"/>
  <c r="I6" i="12"/>
  <c r="E7" i="12"/>
  <c r="G7" i="12"/>
  <c r="H7" i="12"/>
  <c r="I7" i="12"/>
  <c r="E8" i="12"/>
  <c r="F8" i="12"/>
  <c r="G8" i="12"/>
  <c r="H8" i="12"/>
  <c r="I8" i="12"/>
  <c r="E9" i="12"/>
  <c r="F9" i="12"/>
  <c r="G9" i="12"/>
  <c r="H9" i="12"/>
  <c r="I9" i="12"/>
  <c r="E10" i="12"/>
  <c r="F10" i="12"/>
  <c r="G10" i="12"/>
  <c r="H10" i="12"/>
  <c r="I10" i="12"/>
  <c r="E11" i="12"/>
  <c r="F11" i="12"/>
  <c r="G11" i="12"/>
  <c r="H11" i="12"/>
  <c r="I11" i="12"/>
  <c r="E12" i="12"/>
  <c r="F12" i="12"/>
  <c r="G12" i="12"/>
  <c r="H12" i="12"/>
  <c r="I12" i="12"/>
  <c r="F13" i="12"/>
  <c r="G13" i="12"/>
  <c r="H13" i="12"/>
  <c r="I13" i="12"/>
  <c r="E14" i="12"/>
  <c r="G14" i="12"/>
  <c r="H14" i="12"/>
  <c r="I14" i="12"/>
  <c r="E15" i="12"/>
  <c r="F15" i="12"/>
  <c r="G15" i="12"/>
  <c r="H15" i="12"/>
  <c r="I15" i="12"/>
  <c r="E16" i="12"/>
  <c r="F16" i="12"/>
  <c r="G16" i="12"/>
  <c r="H16" i="12"/>
  <c r="I16" i="12"/>
  <c r="E17" i="12"/>
  <c r="F17" i="12"/>
  <c r="G17" i="12"/>
  <c r="H17" i="12"/>
  <c r="I17" i="12"/>
  <c r="E18" i="12"/>
  <c r="F18" i="12"/>
  <c r="G18" i="12"/>
  <c r="H18" i="12"/>
  <c r="I18" i="12"/>
  <c r="E19" i="12"/>
  <c r="F19" i="12"/>
  <c r="G19" i="12"/>
  <c r="H19" i="12"/>
  <c r="I19" i="12"/>
  <c r="E20" i="12"/>
  <c r="G20" i="12"/>
  <c r="H20" i="12"/>
  <c r="I20" i="12"/>
  <c r="E21" i="12"/>
  <c r="G21" i="12"/>
  <c r="H21" i="12"/>
  <c r="I21" i="12"/>
  <c r="E22" i="12"/>
  <c r="G22" i="12"/>
  <c r="H22" i="12"/>
  <c r="I22" i="12"/>
  <c r="E23" i="12"/>
  <c r="F23" i="12"/>
  <c r="G23" i="12"/>
  <c r="H23" i="12"/>
  <c r="I23" i="12"/>
  <c r="E24" i="12"/>
  <c r="G24" i="12"/>
  <c r="H24" i="12"/>
  <c r="I24" i="12"/>
  <c r="F25" i="12"/>
  <c r="G25" i="12"/>
  <c r="H25" i="12"/>
  <c r="I25" i="12"/>
  <c r="F26" i="12"/>
  <c r="G26" i="12"/>
  <c r="H26" i="12"/>
  <c r="I26" i="12"/>
  <c r="E27" i="12"/>
  <c r="F27" i="12"/>
  <c r="G27" i="12"/>
  <c r="H27" i="12"/>
  <c r="I27" i="12"/>
  <c r="E28" i="12"/>
  <c r="F28" i="12"/>
  <c r="G28" i="12"/>
  <c r="H28" i="12"/>
  <c r="I28" i="12"/>
  <c r="E29" i="12"/>
  <c r="F29" i="12"/>
  <c r="G29" i="12"/>
  <c r="H29" i="12"/>
  <c r="I29" i="12"/>
  <c r="E30" i="12"/>
  <c r="F30" i="12"/>
  <c r="G30" i="12"/>
  <c r="H30" i="12"/>
  <c r="I30" i="12"/>
  <c r="E31" i="12"/>
  <c r="F31" i="12"/>
  <c r="G31" i="12"/>
  <c r="H31" i="12"/>
  <c r="I31" i="12"/>
  <c r="E32" i="12"/>
  <c r="G32" i="12"/>
  <c r="H32" i="12"/>
  <c r="I32" i="12"/>
  <c r="E33" i="12"/>
  <c r="F33" i="12"/>
  <c r="G33" i="12"/>
  <c r="H33" i="12"/>
  <c r="I33" i="12"/>
  <c r="E34" i="12"/>
  <c r="G34" i="12"/>
  <c r="H34" i="12"/>
  <c r="I34" i="12"/>
  <c r="E35" i="12"/>
  <c r="G35" i="12"/>
  <c r="H35" i="12"/>
  <c r="I35" i="12"/>
  <c r="E36" i="12"/>
  <c r="F36" i="12"/>
  <c r="G36" i="12"/>
  <c r="H36" i="12"/>
  <c r="I36" i="12"/>
  <c r="E37" i="12"/>
  <c r="G37" i="12"/>
  <c r="H37" i="12"/>
  <c r="I37" i="12"/>
  <c r="E38" i="12"/>
  <c r="F38" i="12"/>
  <c r="G38" i="12"/>
  <c r="H38" i="12"/>
  <c r="I38" i="12"/>
  <c r="E39" i="12"/>
  <c r="F39" i="12"/>
  <c r="G39" i="12"/>
  <c r="H39" i="12"/>
  <c r="I39" i="12"/>
  <c r="E40" i="12"/>
  <c r="F40" i="12"/>
  <c r="G40" i="12"/>
  <c r="H40" i="12"/>
  <c r="I40" i="12"/>
  <c r="E41" i="12"/>
  <c r="F41" i="12"/>
  <c r="G41" i="12"/>
  <c r="H41" i="12"/>
  <c r="I41" i="12"/>
  <c r="E42" i="12"/>
  <c r="F42" i="12"/>
  <c r="G42" i="12"/>
  <c r="H42" i="12"/>
  <c r="I42" i="12"/>
  <c r="E43" i="12"/>
  <c r="F43" i="12"/>
  <c r="G43" i="12"/>
  <c r="H43" i="12"/>
  <c r="I43" i="12"/>
  <c r="E44" i="12"/>
  <c r="F44" i="12"/>
  <c r="G44" i="12"/>
  <c r="H44" i="12"/>
  <c r="I44" i="12"/>
  <c r="E45" i="12"/>
  <c r="F45" i="12"/>
  <c r="G45" i="12"/>
  <c r="H45" i="12"/>
  <c r="I45" i="12"/>
  <c r="E46" i="12"/>
  <c r="F46" i="12"/>
  <c r="G46" i="12"/>
  <c r="H46" i="12"/>
  <c r="I46" i="12"/>
  <c r="E47" i="12"/>
  <c r="F47" i="12"/>
  <c r="G47" i="12"/>
  <c r="H47" i="12"/>
  <c r="I47" i="12"/>
  <c r="E48" i="12"/>
  <c r="F48" i="12"/>
  <c r="G48" i="12"/>
  <c r="H48" i="12"/>
  <c r="I48" i="12"/>
  <c r="E49" i="12"/>
  <c r="F49" i="12"/>
  <c r="G49" i="12"/>
  <c r="H49" i="12"/>
  <c r="I49" i="12"/>
  <c r="F50" i="12"/>
  <c r="G50" i="12"/>
  <c r="H50" i="12"/>
  <c r="I50" i="12"/>
  <c r="E51" i="12"/>
  <c r="F51" i="12"/>
  <c r="G51" i="12"/>
  <c r="H51" i="12"/>
  <c r="I51" i="12"/>
  <c r="E52" i="12"/>
  <c r="F52" i="12"/>
  <c r="G52" i="12"/>
  <c r="H52" i="12"/>
  <c r="I52" i="12"/>
  <c r="E53" i="12"/>
  <c r="F53" i="12"/>
  <c r="G53" i="12"/>
  <c r="H53" i="12"/>
  <c r="I53" i="12"/>
  <c r="E54" i="12"/>
  <c r="F54" i="12"/>
  <c r="G54" i="12"/>
  <c r="H54" i="12"/>
  <c r="I54" i="12"/>
  <c r="AQ93" i="12"/>
  <c r="AP93" i="12"/>
  <c r="AO93" i="12"/>
  <c r="AN93" i="12"/>
  <c r="AM93" i="12"/>
  <c r="AL93" i="12"/>
  <c r="AK93" i="12"/>
  <c r="AJ93" i="12"/>
  <c r="AI93" i="12"/>
  <c r="AH93" i="12"/>
  <c r="AG93" i="12"/>
  <c r="AF93" i="12"/>
  <c r="AE93" i="12"/>
  <c r="AD93" i="12"/>
  <c r="AC93" i="12"/>
  <c r="AB93" i="12"/>
  <c r="AA93" i="12"/>
  <c r="Z93" i="12"/>
  <c r="Y93" i="12"/>
  <c r="X93" i="12"/>
  <c r="W93" i="12"/>
  <c r="V93" i="12"/>
  <c r="U93" i="12"/>
  <c r="T93" i="12"/>
  <c r="S93" i="12"/>
  <c r="R93" i="12"/>
  <c r="AQ92" i="12"/>
  <c r="AP92" i="12"/>
  <c r="AO92" i="12"/>
  <c r="AN92" i="12"/>
  <c r="AL92" i="12"/>
  <c r="AK92" i="12"/>
  <c r="AJ92" i="12"/>
  <c r="AI92" i="12"/>
  <c r="AH92" i="12"/>
  <c r="AG92" i="12"/>
  <c r="AF92" i="12"/>
  <c r="AE92" i="12"/>
  <c r="AD92" i="12"/>
  <c r="AC92" i="12"/>
  <c r="AB92" i="12"/>
  <c r="AA92" i="12"/>
  <c r="Z92" i="12"/>
  <c r="Y92" i="12"/>
  <c r="X92" i="12"/>
  <c r="W92" i="12"/>
  <c r="V92" i="12"/>
  <c r="U92" i="12"/>
  <c r="T92" i="12"/>
  <c r="S92" i="12"/>
  <c r="R92" i="12"/>
  <c r="Q92" i="12"/>
  <c r="AQ91" i="12"/>
  <c r="AP91" i="12"/>
  <c r="AO91" i="12"/>
  <c r="AN91" i="12"/>
  <c r="AL91" i="12"/>
  <c r="AK91" i="12"/>
  <c r="AJ91" i="12"/>
  <c r="AI91" i="12"/>
  <c r="AH91" i="12"/>
  <c r="AG91" i="12"/>
  <c r="AF91" i="12"/>
  <c r="AE91" i="12"/>
  <c r="AD91" i="12"/>
  <c r="AC91" i="12"/>
  <c r="AB91" i="12"/>
  <c r="AA91" i="12"/>
  <c r="Z91" i="12"/>
  <c r="Y91" i="12"/>
  <c r="X91" i="12"/>
  <c r="W91" i="12"/>
  <c r="V91" i="12"/>
  <c r="U91" i="12"/>
  <c r="T91" i="12"/>
  <c r="S91" i="12"/>
  <c r="R91" i="12"/>
  <c r="Q91" i="12"/>
  <c r="AQ90" i="12"/>
  <c r="AP90" i="12"/>
  <c r="AO90" i="12"/>
  <c r="AN90" i="12"/>
  <c r="AL90" i="12"/>
  <c r="AK90" i="12"/>
  <c r="AJ90" i="12"/>
  <c r="AI90" i="12"/>
  <c r="AH90" i="12"/>
  <c r="AG90" i="12"/>
  <c r="AF90" i="12"/>
  <c r="AE90" i="12"/>
  <c r="AD90" i="12"/>
  <c r="AC90" i="12"/>
  <c r="AB90" i="12"/>
  <c r="AA90" i="12"/>
  <c r="Z90" i="12"/>
  <c r="Y90" i="12"/>
  <c r="X90" i="12"/>
  <c r="W90" i="12"/>
  <c r="V90" i="12"/>
  <c r="U90" i="12"/>
  <c r="T90" i="12"/>
  <c r="S90" i="12"/>
  <c r="R90" i="12"/>
  <c r="Q90" i="12"/>
  <c r="AQ89" i="12"/>
  <c r="AP89" i="12"/>
  <c r="AO89" i="12"/>
  <c r="AN89" i="12"/>
  <c r="AL89" i="12"/>
  <c r="AK89" i="12"/>
  <c r="AJ89" i="12"/>
  <c r="AI89" i="12"/>
  <c r="AH89" i="12"/>
  <c r="AG89" i="12"/>
  <c r="AF89" i="12"/>
  <c r="AE89" i="12"/>
  <c r="AD89" i="12"/>
  <c r="AC89" i="12"/>
  <c r="AB89" i="12"/>
  <c r="AA89" i="12"/>
  <c r="Z89" i="12"/>
  <c r="Y89" i="12"/>
  <c r="X89" i="12"/>
  <c r="W89" i="12"/>
  <c r="V89" i="12"/>
  <c r="U89" i="12"/>
  <c r="T89" i="12"/>
  <c r="S89" i="12"/>
  <c r="R89" i="12"/>
  <c r="Q89" i="12"/>
  <c r="AQ88" i="12"/>
  <c r="AP88" i="12"/>
  <c r="AO88" i="12"/>
  <c r="AN88" i="12"/>
  <c r="AM88" i="12"/>
  <c r="AL88" i="12"/>
  <c r="AK88" i="12"/>
  <c r="AJ88" i="12"/>
  <c r="AI88" i="12"/>
  <c r="AH88" i="12"/>
  <c r="AG88" i="12"/>
  <c r="AF88" i="12"/>
  <c r="AE88" i="12"/>
  <c r="AD88" i="12"/>
  <c r="AC88" i="12"/>
  <c r="AB88" i="12"/>
  <c r="AA88" i="12"/>
  <c r="Z88" i="12"/>
  <c r="Y88" i="12"/>
  <c r="X88" i="12"/>
  <c r="W88" i="12"/>
  <c r="V88" i="12"/>
  <c r="U88" i="12"/>
  <c r="T88" i="12"/>
  <c r="S88" i="12"/>
  <c r="R88" i="12"/>
  <c r="Q88" i="12"/>
  <c r="CF87" i="12"/>
  <c r="CE87" i="12"/>
  <c r="CD87" i="12"/>
  <c r="AQ87" i="12"/>
  <c r="AP87" i="12"/>
  <c r="AO87" i="12"/>
  <c r="AN87" i="12"/>
  <c r="AM87" i="12"/>
  <c r="AL87" i="12"/>
  <c r="AK87" i="12"/>
  <c r="AJ87" i="12"/>
  <c r="AI87" i="12"/>
  <c r="AH87" i="12"/>
  <c r="AG87" i="12"/>
  <c r="AF87" i="12"/>
  <c r="AE87" i="12"/>
  <c r="AD87" i="12"/>
  <c r="AC87" i="12"/>
  <c r="AB87" i="12"/>
  <c r="AA87" i="12"/>
  <c r="Z87" i="12"/>
  <c r="Y87" i="12"/>
  <c r="X87" i="12"/>
  <c r="W87" i="12"/>
  <c r="V87" i="12"/>
  <c r="U87" i="12"/>
  <c r="T87" i="12"/>
  <c r="S87" i="12"/>
  <c r="R87" i="12"/>
  <c r="Q87" i="12"/>
  <c r="CF86" i="12"/>
  <c r="CE86" i="12"/>
  <c r="CD86" i="12"/>
  <c r="AQ86" i="12"/>
  <c r="AP86" i="12"/>
  <c r="AO86" i="12"/>
  <c r="AN86" i="12"/>
  <c r="AM86" i="12"/>
  <c r="AL86" i="12"/>
  <c r="AK86" i="12"/>
  <c r="AJ86" i="12"/>
  <c r="AI86" i="12"/>
  <c r="AH86" i="12"/>
  <c r="AG86" i="12"/>
  <c r="AF86" i="12"/>
  <c r="AE86" i="12"/>
  <c r="AD86" i="12"/>
  <c r="AC86" i="12"/>
  <c r="AB86" i="12"/>
  <c r="AA86" i="12"/>
  <c r="Z86" i="12"/>
  <c r="Y86" i="12"/>
  <c r="X86" i="12"/>
  <c r="W86" i="12"/>
  <c r="V86" i="12"/>
  <c r="U86" i="12"/>
  <c r="T86" i="12"/>
  <c r="S86" i="12"/>
  <c r="R86" i="12"/>
  <c r="Q86" i="12"/>
  <c r="CF85" i="12"/>
  <c r="CE85" i="12"/>
  <c r="CD85" i="12"/>
  <c r="AQ85" i="12"/>
  <c r="AP85" i="12"/>
  <c r="AO85" i="12"/>
  <c r="AN85" i="12"/>
  <c r="AL85" i="12"/>
  <c r="AK85" i="12"/>
  <c r="AJ85" i="12"/>
  <c r="AI85" i="12"/>
  <c r="AH85" i="12"/>
  <c r="AG85" i="12"/>
  <c r="AF85" i="12"/>
  <c r="AE85" i="12"/>
  <c r="AD85" i="12"/>
  <c r="AC85" i="12"/>
  <c r="AB85" i="12"/>
  <c r="AA85" i="12"/>
  <c r="Z85" i="12"/>
  <c r="Y85" i="12"/>
  <c r="X85" i="12"/>
  <c r="W85" i="12"/>
  <c r="V85" i="12"/>
  <c r="U85" i="12"/>
  <c r="T85" i="12"/>
  <c r="S85" i="12"/>
  <c r="R85" i="12"/>
  <c r="Q85" i="12"/>
  <c r="E2" i="5"/>
  <c r="B24" i="5"/>
  <c r="B22" i="5"/>
  <c r="B21" i="5"/>
  <c r="B14" i="5"/>
  <c r="B7" i="5"/>
  <c r="A13" i="5"/>
  <c r="F32" i="12"/>
  <c r="F24" i="12" l="1"/>
  <c r="F21" i="12"/>
  <c r="E13" i="12"/>
  <c r="F22" i="12"/>
  <c r="F7" i="12"/>
  <c r="F14" i="12"/>
  <c r="F35" i="12"/>
  <c r="F34" i="12"/>
  <c r="E26" i="12"/>
  <c r="F37" i="12"/>
  <c r="F20" i="12"/>
  <c r="AN94" i="12"/>
  <c r="CD92" i="12"/>
  <c r="AD94" i="12"/>
  <c r="CF92" i="12"/>
  <c r="W94" i="12"/>
  <c r="U94" i="12"/>
  <c r="AC94" i="12"/>
  <c r="AG94" i="12"/>
  <c r="AK94" i="12"/>
  <c r="T94" i="12"/>
  <c r="AJ94" i="12"/>
  <c r="V94" i="12"/>
  <c r="AH94" i="12"/>
  <c r="I2" i="12"/>
  <c r="AP94" i="12"/>
  <c r="R94" i="12"/>
  <c r="AL94" i="12"/>
  <c r="Q93" i="12"/>
  <c r="X94" i="12"/>
  <c r="AB94" i="12"/>
  <c r="AF94" i="12"/>
  <c r="AO94" i="12"/>
  <c r="CE92" i="12"/>
  <c r="S94" i="12"/>
  <c r="AA94" i="12"/>
  <c r="AE94" i="12"/>
  <c r="AI94" i="12"/>
  <c r="AQ94" i="12"/>
  <c r="Y94" i="12"/>
  <c r="Z94" i="12"/>
</calcChain>
</file>

<file path=xl/comments1.xml><?xml version="1.0" encoding="utf-8"?>
<comments xmlns="http://schemas.openxmlformats.org/spreadsheetml/2006/main">
  <authors>
    <author>AvZ</author>
    <author>Haansbergen Bas (GS/QMC-JP)</author>
  </authors>
  <commentList>
    <comment ref="H2" authorId="0" shapeId="0">
      <text>
        <r>
          <rPr>
            <b/>
            <sz val="9"/>
            <color indexed="81"/>
            <rFont val="Tahoma"/>
            <family val="2"/>
          </rPr>
          <t>AvZ: Lines:</t>
        </r>
        <r>
          <rPr>
            <sz val="9"/>
            <color indexed="81"/>
            <rFont val="Tahoma"/>
            <family val="2"/>
          </rPr>
          <t xml:space="preserve">
A = Assembly E = Element
L = Loop         P = Pipe
C = CKD
GR = GU light ring</t>
        </r>
      </text>
    </comment>
    <comment ref="C3" authorId="0" shapeId="0">
      <text>
        <r>
          <rPr>
            <b/>
            <sz val="9"/>
            <color indexed="81"/>
            <rFont val="Tahoma"/>
            <family val="2"/>
          </rPr>
          <t>AvZ:</t>
        </r>
        <r>
          <rPr>
            <sz val="9"/>
            <color indexed="81"/>
            <rFont val="Tahoma"/>
            <family val="2"/>
          </rPr>
          <t xml:space="preserve">
000C: CIP Release Management Jan '16
Green: released
Orange: Prio Jatco
</t>
        </r>
      </text>
    </comment>
    <comment ref="D3" authorId="0" shapeId="0">
      <text>
        <r>
          <rPr>
            <b/>
            <sz val="9"/>
            <color indexed="81"/>
            <rFont val="Tahoma"/>
            <family val="2"/>
          </rPr>
          <t>AvZ:</t>
        </r>
        <r>
          <rPr>
            <sz val="9"/>
            <color indexed="81"/>
            <rFont val="Tahoma"/>
            <family val="2"/>
          </rPr>
          <t xml:space="preserve">
Date = SOP date changed
N = New topic R = Released</t>
        </r>
      </text>
    </comment>
    <comment ref="I3" authorId="0" shapeId="0">
      <text>
        <r>
          <rPr>
            <b/>
            <sz val="9"/>
            <color indexed="81"/>
            <rFont val="Tahoma"/>
            <family val="2"/>
          </rPr>
          <t>AvZ:</t>
        </r>
        <r>
          <rPr>
            <sz val="9"/>
            <color indexed="81"/>
            <rFont val="Tahoma"/>
            <family val="2"/>
          </rPr>
          <t xml:space="preserve">
Jatco:  C=China, J=Japan,          M=JMEX, T=Thailand, 
+S = SlpP involved
</t>
        </r>
        <r>
          <rPr>
            <b/>
            <sz val="9"/>
            <color indexed="81"/>
            <rFont val="Tahoma"/>
            <family val="2"/>
          </rPr>
          <t xml:space="preserve">
JMex involvement as Judged for releases w/ SOP until 1-Apr 2018 (6 months from now) by Bas/Adri on 20-09-2017:</t>
        </r>
        <r>
          <rPr>
            <sz val="9"/>
            <color indexed="81"/>
            <rFont val="Tahoma"/>
            <family val="2"/>
          </rPr>
          <t xml:space="preserve">
- Green:    Assy in SlpP and  informed
- Yellow:    No assy in SlpP
- Orange: Assy in SlpP, not yet informed
- Blue:        Currently LS flow to SlpP not yet released, so not yet applicable</t>
        </r>
      </text>
    </comment>
    <comment ref="J3" authorId="0" shapeId="0">
      <text>
        <r>
          <rPr>
            <b/>
            <sz val="9"/>
            <color indexed="81"/>
            <rFont val="Tahoma"/>
            <family val="2"/>
          </rPr>
          <t>AvZ:</t>
        </r>
        <r>
          <rPr>
            <sz val="9"/>
            <color indexed="81"/>
            <rFont val="Tahoma"/>
            <family val="2"/>
          </rPr>
          <t xml:space="preserve">
Not up-to-date</t>
        </r>
      </text>
    </comment>
    <comment ref="K3" authorId="0" shapeId="0">
      <text>
        <r>
          <rPr>
            <b/>
            <sz val="9"/>
            <color indexed="81"/>
            <rFont val="Tahoma"/>
            <family val="2"/>
          </rPr>
          <t>AvZ:</t>
        </r>
        <r>
          <rPr>
            <sz val="9"/>
            <color indexed="81"/>
            <rFont val="Tahoma"/>
            <family val="2"/>
          </rPr>
          <t xml:space="preserve">
Not up-to-date</t>
        </r>
      </text>
    </comment>
    <comment ref="Q3" authorId="0" shapeId="0">
      <text>
        <r>
          <rPr>
            <b/>
            <sz val="9"/>
            <color indexed="81"/>
            <rFont val="Tahoma"/>
            <family val="2"/>
          </rPr>
          <t>AvZ:</t>
        </r>
        <r>
          <rPr>
            <sz val="9"/>
            <color indexed="81"/>
            <rFont val="Tahoma"/>
            <family val="2"/>
          </rPr>
          <t xml:space="preserve">
Start of ISR run</t>
        </r>
      </text>
    </comment>
    <comment ref="V3" authorId="0" shapeId="0">
      <text>
        <r>
          <rPr>
            <b/>
            <sz val="9"/>
            <color indexed="81"/>
            <rFont val="Tahoma"/>
            <family val="2"/>
          </rPr>
          <t>AvZ: 02-11-2017</t>
        </r>
        <r>
          <rPr>
            <sz val="9"/>
            <color indexed="81"/>
            <rFont val="Tahoma"/>
            <family val="2"/>
          </rPr>
          <t xml:space="preserve">
Start op production released process, internal communication only</t>
        </r>
      </text>
    </comment>
    <comment ref="W3" authorId="0" shapeId="0">
      <text>
        <r>
          <rPr>
            <b/>
            <sz val="9"/>
            <color indexed="81"/>
            <rFont val="Tahoma"/>
            <family val="2"/>
          </rPr>
          <t xml:space="preserve">AvZ: 02-11-2017
</t>
        </r>
        <r>
          <rPr>
            <sz val="9"/>
            <color indexed="81"/>
            <rFont val="Tahoma"/>
            <family val="2"/>
          </rPr>
          <t>Start of production released process as communicated with customer</t>
        </r>
        <r>
          <rPr>
            <sz val="9"/>
            <color indexed="81"/>
            <rFont val="Tahoma"/>
            <family val="2"/>
          </rPr>
          <t xml:space="preserve">
</t>
        </r>
      </text>
    </comment>
    <comment ref="Y3" authorId="0" shapeId="0">
      <text>
        <r>
          <rPr>
            <b/>
            <sz val="9"/>
            <color indexed="81"/>
            <rFont val="Tahoma"/>
            <family val="2"/>
          </rPr>
          <t>AvZ:</t>
        </r>
        <r>
          <rPr>
            <sz val="9"/>
            <color indexed="81"/>
            <rFont val="Tahoma"/>
            <family val="2"/>
          </rPr>
          <t xml:space="preserve">
11-07-2017: SOD = arrival of first products @ customer</t>
        </r>
      </text>
    </comment>
    <comment ref="AS3" authorId="1" shapeId="0">
      <text>
        <r>
          <rPr>
            <b/>
            <sz val="9"/>
            <color indexed="81"/>
            <rFont val="Tahoma"/>
            <family val="2"/>
          </rPr>
          <t>Haansbergen Bas (GS/QMC-JP):</t>
        </r>
        <r>
          <rPr>
            <sz val="9"/>
            <color indexed="81"/>
            <rFont val="Tahoma"/>
            <family val="2"/>
          </rPr>
          <t xml:space="preserve">
Traffic light for release customer communication status
r: Major issues,  possible  delay of SOP/SOD, team cannot solve itself, escalation and immediate measures needed
y: Minor issues, small delay not impacting SOP/SOD, team can solve ifself, measures needed 
g: On-track</t>
        </r>
      </text>
    </comment>
    <comment ref="AU3" authorId="0" shapeId="0">
      <text>
        <r>
          <rPr>
            <b/>
            <sz val="9"/>
            <color indexed="81"/>
            <rFont val="Tahoma"/>
            <family val="2"/>
          </rPr>
          <t>AvZ:</t>
        </r>
        <r>
          <rPr>
            <sz val="9"/>
            <color indexed="81"/>
            <rFont val="Tahoma"/>
            <family val="2"/>
          </rPr>
          <t xml:space="preserve">
cell marked as green if no further follow-up in this meeting
Cell marked as light green if no attention needed in actual meeting</t>
        </r>
      </text>
    </comment>
    <comment ref="U4" authorId="0" shapeId="0">
      <text>
        <r>
          <rPr>
            <b/>
            <sz val="9"/>
            <color indexed="81"/>
            <rFont val="Tahoma"/>
            <family val="2"/>
          </rPr>
          <t>AvZ:</t>
        </r>
        <r>
          <rPr>
            <sz val="9"/>
            <color indexed="81"/>
            <rFont val="Tahoma"/>
            <family val="2"/>
          </rPr>
          <t xml:space="preserve">
Dai: After DR5 24/6</t>
        </r>
      </text>
    </comment>
    <comment ref="Z4" authorId="0" shapeId="0">
      <text>
        <r>
          <rPr>
            <b/>
            <sz val="9"/>
            <color indexed="81"/>
            <rFont val="Tahoma"/>
            <family val="2"/>
          </rPr>
          <t>AvZ:</t>
        </r>
        <r>
          <rPr>
            <sz val="9"/>
            <color indexed="81"/>
            <rFont val="Tahoma"/>
            <family val="2"/>
          </rPr>
          <t xml:space="preserve">
Tsujimoto will check 17-11</t>
        </r>
      </text>
    </comment>
    <comment ref="K8" authorId="0" shapeId="0">
      <text>
        <r>
          <rPr>
            <b/>
            <sz val="9"/>
            <color indexed="81"/>
            <rFont val="Tahoma"/>
            <family val="2"/>
          </rPr>
          <t>AvZ:</t>
        </r>
        <r>
          <rPr>
            <sz val="9"/>
            <color indexed="81"/>
            <rFont val="Tahoma"/>
            <family val="2"/>
          </rPr>
          <t xml:space="preserve">
Awaiting NPC reply JMex
</t>
        </r>
      </text>
    </comment>
    <comment ref="Q8" authorId="0" shapeId="0">
      <text>
        <r>
          <rPr>
            <b/>
            <sz val="9"/>
            <color indexed="81"/>
            <rFont val="Tahoma"/>
            <family val="2"/>
          </rPr>
          <t>AvZ:</t>
        </r>
        <r>
          <rPr>
            <sz val="9"/>
            <color indexed="81"/>
            <rFont val="Tahoma"/>
            <family val="2"/>
          </rPr>
          <t xml:space="preserve">
ISR HcP 16-Aug
ISR SlpP 4-Sep</t>
        </r>
      </text>
    </comment>
    <comment ref="L12" authorId="0" shapeId="0">
      <text>
        <r>
          <rPr>
            <b/>
            <sz val="9"/>
            <color indexed="81"/>
            <rFont val="Tahoma"/>
            <family val="2"/>
          </rPr>
          <t>AvZ:</t>
        </r>
        <r>
          <rPr>
            <sz val="9"/>
            <color indexed="81"/>
            <rFont val="Tahoma"/>
            <family val="2"/>
          </rPr>
          <t xml:space="preserve">
First submission 26-May, full package submitted 9-Jun</t>
        </r>
      </text>
    </comment>
    <comment ref="Q12" authorId="0" shapeId="0">
      <text>
        <r>
          <rPr>
            <b/>
            <sz val="9"/>
            <color indexed="81"/>
            <rFont val="Tahoma"/>
            <family val="2"/>
          </rPr>
          <t>AvZ:</t>
        </r>
        <r>
          <rPr>
            <sz val="9"/>
            <color indexed="81"/>
            <rFont val="Tahoma"/>
            <family val="2"/>
          </rPr>
          <t xml:space="preserve">
ISR HcP 16-Aug
ISR SlpP 4-Sep</t>
        </r>
      </text>
    </comment>
    <comment ref="Q13" authorId="0" shapeId="0">
      <text>
        <r>
          <rPr>
            <b/>
            <sz val="9"/>
            <color indexed="81"/>
            <rFont val="Tahoma"/>
            <family val="2"/>
          </rPr>
          <t>AvZ:</t>
        </r>
        <r>
          <rPr>
            <sz val="9"/>
            <color indexed="81"/>
            <rFont val="Tahoma"/>
            <family val="2"/>
          </rPr>
          <t xml:space="preserve">
Finished 25-Jun</t>
        </r>
      </text>
    </comment>
    <comment ref="Y13" authorId="0" shapeId="0">
      <text>
        <r>
          <rPr>
            <b/>
            <sz val="9"/>
            <color indexed="81"/>
            <rFont val="Tahoma"/>
            <family val="2"/>
          </rPr>
          <t>AvZ: 
Dispatch from HcP:</t>
        </r>
        <r>
          <rPr>
            <sz val="9"/>
            <color indexed="81"/>
            <rFont val="Tahoma"/>
            <family val="2"/>
          </rPr>
          <t xml:space="preserve">
Jatco TH: 13.Dec
Jatco CN: 21.Dec
Jatco JP: 8.Jan (no demand in Dec’17)</t>
        </r>
      </text>
    </comment>
    <comment ref="U17" authorId="0" shapeId="0">
      <text>
        <r>
          <rPr>
            <b/>
            <sz val="9"/>
            <color indexed="81"/>
            <rFont val="Tahoma"/>
            <family val="2"/>
          </rPr>
          <t>AvZ:</t>
        </r>
        <r>
          <rPr>
            <sz val="9"/>
            <color indexed="81"/>
            <rFont val="Tahoma"/>
            <family val="2"/>
          </rPr>
          <t xml:space="preserve">
Approval also valid for JMEX, see mail PHo 13-Mar</t>
        </r>
      </text>
    </comment>
    <comment ref="Y17" authorId="0" shapeId="0">
      <text>
        <r>
          <rPr>
            <b/>
            <sz val="9"/>
            <color indexed="81"/>
            <rFont val="Tahoma"/>
            <family val="2"/>
          </rPr>
          <t>AvZ:</t>
        </r>
        <r>
          <rPr>
            <sz val="9"/>
            <color indexed="81"/>
            <rFont val="Tahoma"/>
            <family val="2"/>
          </rPr>
          <t xml:space="preserve">
- JGZ : 23.Feb.17
- JTC : 7.Feb.17
- JMEX: 7.Mar.17</t>
        </r>
      </text>
    </comment>
    <comment ref="L20" authorId="0" shapeId="0">
      <text>
        <r>
          <rPr>
            <b/>
            <sz val="9"/>
            <color indexed="81"/>
            <rFont val="Tahoma"/>
            <family val="2"/>
          </rPr>
          <t>AvZ:</t>
        </r>
        <r>
          <rPr>
            <sz val="9"/>
            <color indexed="81"/>
            <rFont val="Tahoma"/>
            <family val="2"/>
          </rPr>
          <t xml:space="preserve">
Originally sent 4-8, resent 17-11-2016
</t>
        </r>
      </text>
    </comment>
    <comment ref="U20" authorId="0" shapeId="0">
      <text>
        <r>
          <rPr>
            <b/>
            <sz val="9"/>
            <color indexed="81"/>
            <rFont val="Tahoma"/>
            <family val="2"/>
          </rPr>
          <t>AvZ:</t>
        </r>
        <r>
          <rPr>
            <sz val="9"/>
            <color indexed="81"/>
            <rFont val="Tahoma"/>
            <family val="2"/>
          </rPr>
          <t xml:space="preserve">
JMEX approval pending</t>
        </r>
      </text>
    </comment>
    <comment ref="Q23" authorId="0" shapeId="0">
      <text>
        <r>
          <rPr>
            <b/>
            <sz val="9"/>
            <color indexed="81"/>
            <rFont val="Tahoma"/>
            <family val="2"/>
          </rPr>
          <t>AvZ:</t>
        </r>
        <r>
          <rPr>
            <sz val="9"/>
            <color indexed="81"/>
            <rFont val="Tahoma"/>
            <family val="2"/>
          </rPr>
          <t xml:space="preserve">
ISR 27-Mar, failed due to capability, redo 29-5 after solving tech issue bearing</t>
        </r>
      </text>
    </comment>
    <comment ref="D25"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U28" authorId="0" shapeId="0">
      <text>
        <r>
          <rPr>
            <b/>
            <sz val="9"/>
            <color indexed="81"/>
            <rFont val="Tahoma"/>
            <family val="2"/>
          </rPr>
          <t>AvZ:</t>
        </r>
        <r>
          <rPr>
            <sz val="9"/>
            <color indexed="81"/>
            <rFont val="Tahoma"/>
            <family val="2"/>
          </rPr>
          <t xml:space="preserve">
cw42
</t>
        </r>
      </text>
    </comment>
    <comment ref="W28" authorId="0" shapeId="0">
      <text>
        <r>
          <rPr>
            <b/>
            <sz val="9"/>
            <color indexed="81"/>
            <rFont val="Tahoma"/>
            <family val="2"/>
          </rPr>
          <t>AvZ:</t>
        </r>
        <r>
          <rPr>
            <sz val="9"/>
            <color indexed="81"/>
            <rFont val="Tahoma"/>
            <family val="2"/>
          </rPr>
          <t xml:space="preserve">
From 1 to 6 nov acc project plan Cynthia 27-Feb</t>
        </r>
      </text>
    </comment>
    <comment ref="Q33" authorId="0" shapeId="0">
      <text>
        <r>
          <rPr>
            <b/>
            <sz val="9"/>
            <color indexed="81"/>
            <rFont val="Tahoma"/>
            <family val="2"/>
          </rPr>
          <t>AvZ:</t>
        </r>
        <r>
          <rPr>
            <sz val="9"/>
            <color indexed="81"/>
            <rFont val="Tahoma"/>
            <family val="2"/>
          </rPr>
          <t xml:space="preserve">
Delay due to material issue; 27-3: ISR ongoing</t>
        </r>
      </text>
    </comment>
    <comment ref="E37" authorId="0" shapeId="0">
      <text>
        <r>
          <rPr>
            <b/>
            <sz val="9"/>
            <color indexed="81"/>
            <rFont val="Tahoma"/>
            <family val="2"/>
          </rPr>
          <t>AvZ:</t>
        </r>
        <r>
          <rPr>
            <sz val="9"/>
            <color indexed="81"/>
            <rFont val="Tahoma"/>
            <family val="2"/>
          </rPr>
          <t xml:space="preserve">
090 GU-light</t>
        </r>
      </text>
    </comment>
    <comment ref="I38" authorId="0" shapeId="0">
      <text>
        <r>
          <rPr>
            <b/>
            <sz val="9"/>
            <color indexed="81"/>
            <rFont val="Tahoma"/>
            <family val="2"/>
          </rPr>
          <t>AvZ:</t>
        </r>
        <r>
          <rPr>
            <sz val="9"/>
            <color indexed="81"/>
            <rFont val="Tahoma"/>
            <family val="2"/>
          </rPr>
          <t xml:space="preserve">
JMex from Sept '18</t>
        </r>
      </text>
    </comment>
    <comment ref="Q38" authorId="0" shapeId="0">
      <text>
        <r>
          <rPr>
            <b/>
            <sz val="9"/>
            <color indexed="81"/>
            <rFont val="Tahoma"/>
            <family val="2"/>
          </rPr>
          <t>AvZ:</t>
        </r>
        <r>
          <rPr>
            <sz val="9"/>
            <color indexed="81"/>
            <rFont val="Tahoma"/>
            <family val="2"/>
          </rPr>
          <t xml:space="preserve">
AL11 done on 5/6-Dec, AL14 done on 12/13-Dec</t>
        </r>
      </text>
    </comment>
    <comment ref="Q51" authorId="0" shapeId="0">
      <text>
        <r>
          <rPr>
            <b/>
            <sz val="9"/>
            <color indexed="81"/>
            <rFont val="Tahoma"/>
            <family val="2"/>
          </rPr>
          <t>AvZ:</t>
        </r>
        <r>
          <rPr>
            <sz val="9"/>
            <color indexed="81"/>
            <rFont val="Tahoma"/>
            <family val="2"/>
          </rPr>
          <t xml:space="preserve">
results will be available on 24 Nov</t>
        </r>
      </text>
    </comment>
    <comment ref="Q57" authorId="0" shapeId="0">
      <text>
        <r>
          <rPr>
            <b/>
            <sz val="9"/>
            <color indexed="81"/>
            <rFont val="Tahoma"/>
            <family val="2"/>
          </rPr>
          <t>AvZ:</t>
        </r>
        <r>
          <rPr>
            <sz val="9"/>
            <color indexed="81"/>
            <rFont val="Tahoma"/>
            <family val="2"/>
          </rPr>
          <t xml:space="preserve">
results will be available on 24 Nov</t>
        </r>
      </text>
    </comment>
  </commentList>
</comments>
</file>

<file path=xl/comments2.xml><?xml version="1.0" encoding="utf-8"?>
<comments xmlns="http://schemas.openxmlformats.org/spreadsheetml/2006/main">
  <authors>
    <author>AvZ</author>
    <author>mko1tb</author>
    <author>Moriyasu Koji (GS/QMC1-CT)</author>
    <author>tsm2to</author>
  </authors>
  <commentList>
    <comment ref="M2" authorId="0" shapeId="0">
      <text>
        <r>
          <rPr>
            <b/>
            <sz val="9"/>
            <color indexed="81"/>
            <rFont val="Tahoma"/>
            <family val="2"/>
          </rPr>
          <t>AvZ: Lines:</t>
        </r>
        <r>
          <rPr>
            <sz val="9"/>
            <color indexed="81"/>
            <rFont val="Tahoma"/>
            <family val="2"/>
          </rPr>
          <t xml:space="preserve">
A = Assembly E = Element
L = Loop         P = Pipe
C = CKD
GR = GU light ring</t>
        </r>
      </text>
    </comment>
    <comment ref="G3" authorId="0" shapeId="0">
      <text>
        <r>
          <rPr>
            <b/>
            <sz val="9"/>
            <color indexed="81"/>
            <rFont val="Tahoma"/>
            <family val="2"/>
          </rPr>
          <t>AvZ:</t>
        </r>
        <r>
          <rPr>
            <sz val="9"/>
            <color indexed="81"/>
            <rFont val="Tahoma"/>
            <family val="2"/>
          </rPr>
          <t xml:space="preserve">
000C: CIP Release Management Jan '16
Green: released
Orange: Prio Jatco
</t>
        </r>
      </text>
    </comment>
    <comment ref="H3" authorId="0" shapeId="0">
      <text>
        <r>
          <rPr>
            <b/>
            <sz val="9"/>
            <color indexed="81"/>
            <rFont val="Tahoma"/>
            <family val="2"/>
          </rPr>
          <t>AvZ:</t>
        </r>
        <r>
          <rPr>
            <sz val="9"/>
            <color indexed="81"/>
            <rFont val="Tahoma"/>
            <family val="2"/>
          </rPr>
          <t xml:space="preserve">
Date = SOP date changed
N = New topic R = Released</t>
        </r>
      </text>
    </comment>
    <comment ref="N3" authorId="0" shapeId="0">
      <text>
        <r>
          <rPr>
            <b/>
            <sz val="9"/>
            <color indexed="81"/>
            <rFont val="Tahoma"/>
            <family val="2"/>
          </rPr>
          <t>AvZ:</t>
        </r>
        <r>
          <rPr>
            <sz val="9"/>
            <color indexed="81"/>
            <rFont val="Tahoma"/>
            <family val="2"/>
          </rPr>
          <t xml:space="preserve">
Jatco:  C=China, J=Japan,      -        M=JMEX, T=Thailand,</t>
        </r>
      </text>
    </comment>
    <comment ref="BG3" authorId="0" shapeId="0">
      <text>
        <r>
          <rPr>
            <b/>
            <sz val="9"/>
            <color indexed="81"/>
            <rFont val="Tahoma"/>
            <family val="2"/>
          </rPr>
          <t>AvZ:</t>
        </r>
        <r>
          <rPr>
            <sz val="9"/>
            <color indexed="81"/>
            <rFont val="Tahoma"/>
            <family val="2"/>
          </rPr>
          <t xml:space="preserve">
ISR run only, excl validation</t>
        </r>
      </text>
    </comment>
    <comment ref="BF10" authorId="1" shapeId="0">
      <text>
        <r>
          <rPr>
            <b/>
            <sz val="9"/>
            <color indexed="81"/>
            <rFont val="Tahoma"/>
            <family val="2"/>
          </rPr>
          <t>mko1tb:</t>
        </r>
        <r>
          <rPr>
            <sz val="9"/>
            <color indexed="81"/>
            <rFont val="Tahoma"/>
            <family val="2"/>
          </rPr>
          <t xml:space="preserve">
Passed with homework</t>
        </r>
      </text>
    </comment>
    <comment ref="BE18" authorId="2" shapeId="0">
      <text>
        <r>
          <rPr>
            <b/>
            <sz val="9"/>
            <color indexed="81"/>
            <rFont val="Tahoma"/>
            <family val="2"/>
          </rPr>
          <t>Moriyasu Koji (GS/QMC1-CT):</t>
        </r>
        <r>
          <rPr>
            <sz val="9"/>
            <color indexed="81"/>
            <rFont val="Tahoma"/>
            <family val="2"/>
          </rPr>
          <t xml:space="preserve">
Passed with homework
before homework approval, PSW approval will not be</t>
        </r>
      </text>
    </comment>
    <comment ref="BD23" authorId="2" shapeId="0">
      <text>
        <r>
          <rPr>
            <b/>
            <sz val="9"/>
            <color indexed="81"/>
            <rFont val="Tahoma"/>
            <family val="2"/>
          </rPr>
          <t>Moriyasu Koji (GS/QMC1-CT):</t>
        </r>
        <r>
          <rPr>
            <sz val="9"/>
            <color indexed="81"/>
            <rFont val="Tahoma"/>
            <family val="2"/>
          </rPr>
          <t xml:space="preserve">
Passed or not passed?</t>
        </r>
      </text>
    </comment>
    <comment ref="H25"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BD25" authorId="2" shapeId="0">
      <text>
        <r>
          <rPr>
            <b/>
            <sz val="9"/>
            <color indexed="81"/>
            <rFont val="Tahoma"/>
            <family val="2"/>
          </rPr>
          <t>Moriyasu Koji (GS/QMC1-CT):</t>
        </r>
        <r>
          <rPr>
            <sz val="9"/>
            <color indexed="81"/>
            <rFont val="Tahoma"/>
            <family val="2"/>
          </rPr>
          <t xml:space="preserve">
material submitted to Jatco@6/15</t>
        </r>
      </text>
    </comment>
    <comment ref="BE26" authorId="2" shapeId="0">
      <text>
        <r>
          <rPr>
            <b/>
            <sz val="9"/>
            <color indexed="81"/>
            <rFont val="Tahoma"/>
            <family val="2"/>
          </rPr>
          <t>Moriyasu Koji (GS/QMC1-CT):</t>
        </r>
        <r>
          <rPr>
            <sz val="9"/>
            <color indexed="81"/>
            <rFont val="Tahoma"/>
            <family val="2"/>
          </rPr>
          <t xml:space="preserve">
propose DR data @ cw 26 to jatco</t>
        </r>
      </text>
    </comment>
    <comment ref="H27"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I37" authorId="0" shapeId="0">
      <text>
        <r>
          <rPr>
            <b/>
            <sz val="9"/>
            <color indexed="81"/>
            <rFont val="Tahoma"/>
            <family val="2"/>
          </rPr>
          <t>AvZ:</t>
        </r>
        <r>
          <rPr>
            <sz val="9"/>
            <color indexed="81"/>
            <rFont val="Tahoma"/>
            <family val="2"/>
          </rPr>
          <t xml:space="preserve">
090 GU-light</t>
        </r>
      </text>
    </comment>
    <comment ref="N38" authorId="0" shapeId="0">
      <text>
        <r>
          <rPr>
            <b/>
            <sz val="9"/>
            <color indexed="81"/>
            <rFont val="Tahoma"/>
            <family val="2"/>
          </rPr>
          <t>AvZ:</t>
        </r>
        <r>
          <rPr>
            <sz val="9"/>
            <color indexed="81"/>
            <rFont val="Tahoma"/>
            <family val="2"/>
          </rPr>
          <t xml:space="preserve">
JMex from Sept '18</t>
        </r>
      </text>
    </comment>
    <comment ref="BD83" authorId="3" shapeId="0">
      <text>
        <r>
          <rPr>
            <b/>
            <sz val="9"/>
            <color indexed="81"/>
            <rFont val="ＭＳ Ｐゴシック"/>
            <family val="3"/>
            <charset val="128"/>
          </rPr>
          <t>P-DR2-1</t>
        </r>
        <r>
          <rPr>
            <sz val="9"/>
            <color indexed="81"/>
            <rFont val="ＭＳ Ｐゴシック"/>
            <family val="3"/>
            <charset val="128"/>
          </rPr>
          <t xml:space="preserve">
</t>
        </r>
      </text>
    </comment>
    <comment ref="BE83" authorId="3" shapeId="0">
      <text>
        <r>
          <rPr>
            <sz val="9"/>
            <color indexed="81"/>
            <rFont val="ＭＳ Ｐゴシック"/>
            <family val="3"/>
            <charset val="128"/>
          </rPr>
          <t xml:space="preserve">P-DR2-2&amp;PDR3
</t>
        </r>
      </text>
    </comment>
  </commentList>
</comments>
</file>

<file path=xl/sharedStrings.xml><?xml version="1.0" encoding="utf-8"?>
<sst xmlns="http://schemas.openxmlformats.org/spreadsheetml/2006/main" count="1375" uniqueCount="497">
  <si>
    <t>B</t>
  </si>
  <si>
    <t>J</t>
  </si>
  <si>
    <t>Link to RBJP, don't change</t>
  </si>
  <si>
    <t>|</t>
  </si>
  <si>
    <t>Prio</t>
  </si>
  <si>
    <t>SOP</t>
  </si>
  <si>
    <r>
      <t>DR steps</t>
    </r>
    <r>
      <rPr>
        <sz val="10"/>
        <color theme="1"/>
        <rFont val="ＭＳ Ｐゴシック"/>
        <family val="3"/>
        <charset val="128"/>
      </rPr>
      <t>　</t>
    </r>
    <r>
      <rPr>
        <sz val="10"/>
        <color theme="1"/>
        <rFont val="Arial"/>
        <family val="2"/>
      </rPr>
      <t>(Bosch maintenance)</t>
    </r>
    <r>
      <rPr>
        <sz val="10"/>
        <color theme="1"/>
        <rFont val="ＭＳ Ｐゴシック"/>
        <family val="3"/>
        <charset val="128"/>
      </rPr>
      <t>　</t>
    </r>
  </si>
  <si>
    <t>2017-H1</t>
  </si>
  <si>
    <t>2017-H2</t>
  </si>
  <si>
    <t>2018-H1</t>
  </si>
  <si>
    <t>PIC</t>
  </si>
  <si>
    <t>NPC R</t>
  </si>
  <si>
    <t>PSW A</t>
  </si>
  <si>
    <t>Nr</t>
  </si>
  <si>
    <t>Change
/ New/ Released</t>
  </si>
  <si>
    <t>Belt</t>
  </si>
  <si>
    <t>Description change</t>
  </si>
  <si>
    <t>Loc</t>
  </si>
  <si>
    <t>Line</t>
  </si>
  <si>
    <t>Cust.
plant</t>
  </si>
  <si>
    <t>Jatco Rel. Meth.</t>
  </si>
  <si>
    <t>MQS</t>
  </si>
  <si>
    <t>P-DR2</t>
    <phoneticPr fontId="9"/>
  </si>
  <si>
    <t>NPC-S</t>
    <phoneticPr fontId="9"/>
  </si>
  <si>
    <t>NPC-R</t>
    <phoneticPr fontId="9"/>
  </si>
  <si>
    <t>ISR</t>
    <phoneticPr fontId="9"/>
  </si>
  <si>
    <t>PSW S</t>
  </si>
  <si>
    <t>SOD</t>
  </si>
  <si>
    <t>Frozen period (Month)</t>
  </si>
  <si>
    <t>PIC 
QMM1</t>
  </si>
  <si>
    <t xml:space="preserve">Open items follow-up </t>
  </si>
  <si>
    <t>R</t>
  </si>
  <si>
    <t>068</t>
  </si>
  <si>
    <t>Nippon Phase 3 24/9 Jatco  [+Suzuki]</t>
  </si>
  <si>
    <t>HcP</t>
  </si>
  <si>
    <t>EL</t>
  </si>
  <si>
    <t>CJMT</t>
  </si>
  <si>
    <t>P16-293</t>
  </si>
  <si>
    <t>Dai</t>
  </si>
  <si>
    <t>072</t>
  </si>
  <si>
    <t>Nippon Phase 3 24/6 Jatco  [+Suzuki]</t>
  </si>
  <si>
    <t>CJMT+S</t>
  </si>
  <si>
    <t>FPDR</t>
  </si>
  <si>
    <t>P16-020</t>
  </si>
  <si>
    <t>Aut. LS CKD to SlpP Jatco 072</t>
  </si>
  <si>
    <t>TbP</t>
  </si>
  <si>
    <t>LC</t>
  </si>
  <si>
    <t>M+S</t>
  </si>
  <si>
    <t>QRCA</t>
  </si>
  <si>
    <t>P14-382</t>
  </si>
  <si>
    <t>Relocation LL7 conventional ring line</t>
  </si>
  <si>
    <t>LL07</t>
  </si>
  <si>
    <t>P17-wait</t>
  </si>
  <si>
    <t>Hoa</t>
  </si>
  <si>
    <t xml:space="preserve">LS CKD HcP to SlpP 072 </t>
  </si>
  <si>
    <t>DR#0/1</t>
  </si>
  <si>
    <t>JMex</t>
  </si>
  <si>
    <t>078</t>
  </si>
  <si>
    <t>LS CKD TbP to HcP 078</t>
  </si>
  <si>
    <t>see 110</t>
  </si>
  <si>
    <t>GU light 078 APO LL4C</t>
  </si>
  <si>
    <t>LL04C</t>
  </si>
  <si>
    <t>P16-Wait</t>
  </si>
  <si>
    <t>NA</t>
  </si>
  <si>
    <t>done</t>
  </si>
  <si>
    <t>Appl. Jatco APO (GU light) AL HcP</t>
  </si>
  <si>
    <t>AL09</t>
  </si>
  <si>
    <t>Moriyasu 
(Hoa)</t>
  </si>
  <si>
    <t>SlpP</t>
  </si>
  <si>
    <t>AL</t>
  </si>
  <si>
    <t>see 275</t>
  </si>
  <si>
    <t>081</t>
  </si>
  <si>
    <t>Release 081 AL14 (New concept)  [+Suzuki]</t>
  </si>
  <si>
    <t>AL14</t>
  </si>
  <si>
    <t>P15-406</t>
  </si>
  <si>
    <t>083</t>
  </si>
  <si>
    <t>Nippon Phase 3 Jatco 30/10</t>
  </si>
  <si>
    <t>CJM</t>
  </si>
  <si>
    <t>QRCA?</t>
  </si>
  <si>
    <t>P16-437</t>
  </si>
  <si>
    <t>089</t>
  </si>
  <si>
    <t>GU LL10_089 LS Product release</t>
  </si>
  <si>
    <t>LL10</t>
  </si>
  <si>
    <t>P15-591</t>
  </si>
  <si>
    <t>LL11: Release for 089</t>
  </si>
  <si>
    <t>LL11</t>
  </si>
  <si>
    <t>P15-799</t>
  </si>
  <si>
    <t>Quan</t>
  </si>
  <si>
    <t>[18-May] Safe launch shifted to E May, no further tracking in this meeting</t>
  </si>
  <si>
    <t>Element CKD HcP to SlpP 089</t>
  </si>
  <si>
    <t>EC</t>
  </si>
  <si>
    <t>P-11086</t>
  </si>
  <si>
    <t>LL</t>
  </si>
  <si>
    <t>P16-488</t>
  </si>
  <si>
    <t>B Feb</t>
  </si>
  <si>
    <t>EL7; 3 new XFT presses</t>
  </si>
  <si>
    <t>EL07</t>
  </si>
  <si>
    <t>P16-592</t>
  </si>
  <si>
    <t>Nippon Phase 3 28/10</t>
  </si>
  <si>
    <t>CJM+S</t>
  </si>
  <si>
    <t>P16-436</t>
  </si>
  <si>
    <t>Jan'17</t>
  </si>
  <si>
    <t>EL7, Line release incl Hardening/washing</t>
  </si>
  <si>
    <t>P16-wait</t>
  </si>
  <si>
    <t>Adri</t>
  </si>
  <si>
    <t xml:space="preserve">LL11: Cycle time upgrade (Scope 3) </t>
  </si>
  <si>
    <t>EL7, Deburring 1+2</t>
  </si>
  <si>
    <t>Release AL10 SlpP for 089</t>
  </si>
  <si>
    <t>AL10</t>
  </si>
  <si>
    <t>EL7, Deburring 3+4</t>
  </si>
  <si>
    <t>Relocation AL5 to SlpP for Jatco</t>
  </si>
  <si>
    <t>AL05</t>
  </si>
  <si>
    <t>M</t>
  </si>
  <si>
    <t>[Apr 26th] removed because Al18 will become AL17 in HcP</t>
  </si>
  <si>
    <t>New AL16 HcP</t>
  </si>
  <si>
    <t>AL16</t>
  </si>
  <si>
    <t>LL09</t>
  </si>
  <si>
    <t>Aut. LS CKD to HcP Jatco 089</t>
  </si>
  <si>
    <t>C</t>
  </si>
  <si>
    <t>Koji</t>
  </si>
  <si>
    <t>090</t>
  </si>
  <si>
    <t>Loop AVO LL06 HcP</t>
  </si>
  <si>
    <t>LL06</t>
  </si>
  <si>
    <t>P16-630</t>
  </si>
  <si>
    <t>Nippon Phase 3 AVO</t>
  </si>
  <si>
    <t>P16-435</t>
  </si>
  <si>
    <t>Element line 6 for AVO [SOP tbd]</t>
  </si>
  <si>
    <t>EL06</t>
  </si>
  <si>
    <t>tbd</t>
  </si>
  <si>
    <t>093</t>
  </si>
  <si>
    <t>P16-waiting..</t>
  </si>
  <si>
    <t>n.a</t>
  </si>
  <si>
    <t>AFB 2810GU AL TbP</t>
  </si>
  <si>
    <t>New Design</t>
  </si>
  <si>
    <t>094</t>
  </si>
  <si>
    <t>GU light 094 AVO LL07</t>
  </si>
  <si>
    <t>CM</t>
  </si>
  <si>
    <t>GU light 094 AVO AL HcP</t>
  </si>
  <si>
    <t>see 180</t>
  </si>
  <si>
    <t>097</t>
  </si>
  <si>
    <t>Appl. Jatco AZO K-car</t>
  </si>
  <si>
    <t>see 82</t>
  </si>
  <si>
    <t>see 186</t>
  </si>
  <si>
    <t>Appl. Jatco AZO K-car (Backup)</t>
  </si>
  <si>
    <t>More</t>
  </si>
  <si>
    <t>Aut. LS CKD to HcP Jatco all belt types [+Suzuki]</t>
  </si>
  <si>
    <t>Aut. LS CKD to SlpP Jatco all belt types</t>
  </si>
  <si>
    <t>All</t>
  </si>
  <si>
    <t>Dry belt packaging</t>
  </si>
  <si>
    <t>AL08</t>
  </si>
  <si>
    <t>ENG topic</t>
  </si>
  <si>
    <t>?</t>
  </si>
  <si>
    <t>Replace mixing + eol washer</t>
  </si>
  <si>
    <t>All loops LL1A (non-Honda)</t>
  </si>
  <si>
    <t>Replacement loopwasher LL1A</t>
  </si>
  <si>
    <t>LL01A</t>
  </si>
  <si>
    <t>P14-337</t>
  </si>
  <si>
    <t>All loops LL1B (non-Honda)</t>
  </si>
  <si>
    <t>Replacement loopwasher LL1B</t>
  </si>
  <si>
    <t>LL01B</t>
  </si>
  <si>
    <t>New AL18 for 089 SlpP</t>
  </si>
  <si>
    <t>AL18</t>
  </si>
  <si>
    <t>N</t>
  </si>
  <si>
    <t>Surface detection System Einsal 24mm + 30/12</t>
  </si>
  <si>
    <t>Reduce measuring freq. loop surface hardness</t>
  </si>
  <si>
    <t>TbP, HcP</t>
  </si>
  <si>
    <t>na</t>
  </si>
  <si>
    <t>PL: Relocate welding 2 from PL3 to PL4</t>
  </si>
  <si>
    <t xml:space="preserve">PL: New welding 5 </t>
  </si>
  <si>
    <t>PL: New Pipe washing 2 PL5</t>
  </si>
  <si>
    <t>PL: Relocate welding 1 from PL3 to PL4</t>
  </si>
  <si>
    <t>PL: Relocate Pipe washing from PL3 to PL4</t>
  </si>
  <si>
    <t>LL12 release 089 after modifications for SLB</t>
  </si>
  <si>
    <t>LL12</t>
  </si>
  <si>
    <t>F0</t>
  </si>
  <si>
    <t>F1/Q1</t>
  </si>
  <si>
    <t>F2</t>
  </si>
  <si>
    <t>F3</t>
  </si>
  <si>
    <t>F4</t>
  </si>
  <si>
    <t>P1</t>
  </si>
  <si>
    <t>P2</t>
  </si>
  <si>
    <t>P3</t>
  </si>
  <si>
    <t>P4/5</t>
  </si>
  <si>
    <t>Total</t>
  </si>
  <si>
    <t>Link to MFC, don't change</t>
  </si>
  <si>
    <t>Link to MFC, don't change</t>
    <phoneticPr fontId="9"/>
  </si>
  <si>
    <t xml:space="preserve">Ful Pro* </t>
  </si>
  <si>
    <t>PP DR*</t>
  </si>
  <si>
    <t>DR steps　(Bosch maintenance)　</t>
  </si>
  <si>
    <r>
      <t>DR steps</t>
    </r>
    <r>
      <rPr>
        <sz val="10"/>
        <color theme="1"/>
        <rFont val="ＭＳ Ｐゴシック"/>
        <family val="3"/>
        <charset val="128"/>
      </rPr>
      <t>　</t>
    </r>
    <r>
      <rPr>
        <sz val="10"/>
        <color theme="1"/>
        <rFont val="Arial"/>
        <family val="2"/>
      </rPr>
      <t xml:space="preserve">(actual) Jatco maintenance </t>
    </r>
    <r>
      <rPr>
        <sz val="10"/>
        <color theme="1"/>
        <rFont val="ＭＳ Ｐゴシック"/>
        <family val="3"/>
        <charset val="128"/>
      </rPr>
      <t>　</t>
    </r>
  </si>
  <si>
    <t>PP DR*</t>
    <phoneticPr fontId="9"/>
  </si>
  <si>
    <t>JP name</t>
  </si>
  <si>
    <t>NPC-S</t>
  </si>
  <si>
    <t>NPC-R</t>
  </si>
  <si>
    <t>F-DR0</t>
  </si>
  <si>
    <t>F-DR1</t>
    <phoneticPr fontId="9"/>
  </si>
  <si>
    <t>F-DR2</t>
    <phoneticPr fontId="9"/>
  </si>
  <si>
    <t>F-DR3</t>
    <phoneticPr fontId="9"/>
  </si>
  <si>
    <t>F-DR4</t>
    <phoneticPr fontId="9"/>
  </si>
  <si>
    <t>F-DR5</t>
    <phoneticPr fontId="9"/>
  </si>
  <si>
    <t>Q-DR</t>
    <phoneticPr fontId="9"/>
  </si>
  <si>
    <t>Risk Review</t>
    <phoneticPr fontId="9"/>
  </si>
  <si>
    <t>P-DR0</t>
    <phoneticPr fontId="9"/>
  </si>
  <si>
    <t>P-DR1</t>
    <phoneticPr fontId="9"/>
  </si>
  <si>
    <t>P-DR3</t>
    <phoneticPr fontId="9"/>
  </si>
  <si>
    <t>P-DR5</t>
    <phoneticPr fontId="9"/>
  </si>
  <si>
    <t>ISR</t>
  </si>
  <si>
    <t>NPC-Sa</t>
    <phoneticPr fontId="9"/>
  </si>
  <si>
    <t>NPC-Ra</t>
    <phoneticPr fontId="9"/>
  </si>
  <si>
    <t>F-DR0a</t>
    <phoneticPr fontId="9"/>
  </si>
  <si>
    <t>F-DR1a</t>
    <phoneticPr fontId="9"/>
  </si>
  <si>
    <t>F-DR3a</t>
    <phoneticPr fontId="9"/>
  </si>
  <si>
    <t>F-DR4a</t>
    <phoneticPr fontId="9"/>
  </si>
  <si>
    <t>F-DR5a</t>
    <phoneticPr fontId="9"/>
  </si>
  <si>
    <t>Q-DRa</t>
    <phoneticPr fontId="9"/>
  </si>
  <si>
    <t>Risk Ra</t>
    <phoneticPr fontId="9"/>
  </si>
  <si>
    <t>P-DR0a</t>
    <phoneticPr fontId="9"/>
  </si>
  <si>
    <t>P-DR1a</t>
    <phoneticPr fontId="9"/>
  </si>
  <si>
    <t>P-DR2a</t>
    <phoneticPr fontId="9"/>
  </si>
  <si>
    <t>P-DR3a</t>
    <phoneticPr fontId="9"/>
  </si>
  <si>
    <t>P-DR5a</t>
    <phoneticPr fontId="9"/>
  </si>
  <si>
    <t>I/Sa</t>
    <phoneticPr fontId="9"/>
  </si>
  <si>
    <t>PSW Sa</t>
    <phoneticPr fontId="9"/>
  </si>
  <si>
    <t>PSW Aa</t>
    <phoneticPr fontId="9"/>
  </si>
  <si>
    <t>SOPa</t>
    <phoneticPr fontId="9"/>
  </si>
  <si>
    <r>
      <rPr>
        <sz val="10"/>
        <color theme="1"/>
        <rFont val="ＭＳ Ｐゴシック"/>
        <family val="3"/>
        <charset val="128"/>
      </rPr>
      <t>●</t>
    </r>
  </si>
  <si>
    <t xml:space="preserve">エレメント材料(工程変更材）24/9拡大採用 </t>
  </si>
  <si>
    <t>2018/3/M</t>
    <phoneticPr fontId="9"/>
  </si>
  <si>
    <t xml:space="preserve">エレメント材料(工程変更材） </t>
  </si>
  <si>
    <t>6/M</t>
    <phoneticPr fontId="9"/>
  </si>
  <si>
    <t>done</t>
    <phoneticPr fontId="9"/>
  </si>
  <si>
    <t>P5</t>
    <phoneticPr fontId="9"/>
  </si>
  <si>
    <t>PA</t>
  </si>
  <si>
    <t>S</t>
  </si>
  <si>
    <t>D</t>
  </si>
  <si>
    <t>ループラインNo.7のGU-light（24mm loopのLEM化）に伴う、既存装置（slittingとバリ取り装置）移設</t>
  </si>
  <si>
    <t>PS</t>
  </si>
  <si>
    <t>P5</t>
  </si>
  <si>
    <t>Item110に含まれる</t>
  </si>
  <si>
    <t>APO GU lite 078 SlpPｱｾﾝﾌﾞﾘ</t>
  </si>
  <si>
    <t>P-Wait</t>
  </si>
  <si>
    <t>RR</t>
    <phoneticPr fontId="9"/>
  </si>
  <si>
    <t>P1</t>
    <phoneticPr fontId="9"/>
  </si>
  <si>
    <t>I</t>
  </si>
  <si>
    <r>
      <t>P</t>
    </r>
    <r>
      <rPr>
        <sz val="10"/>
        <color theme="1"/>
        <rFont val="Arial"/>
        <family val="2"/>
      </rPr>
      <t>A</t>
    </r>
  </si>
  <si>
    <t>Compined with P-DR, no Q-DR planned</t>
  </si>
  <si>
    <t>I</t>
    <phoneticPr fontId="9"/>
  </si>
  <si>
    <t>P2</t>
    <phoneticPr fontId="9"/>
  </si>
  <si>
    <t>S</t>
    <phoneticPr fontId="9"/>
  </si>
  <si>
    <t xml:space="preserve">エレメント材料(工程変更材）30/10拡大採用 </t>
  </si>
  <si>
    <t>LL10ベトナム 089GUループリリース</t>
  </si>
  <si>
    <t>LL11ベトナム 089GUループリリース</t>
  </si>
  <si>
    <t>PA</t>
    <phoneticPr fontId="9"/>
  </si>
  <si>
    <t>skip</t>
    <phoneticPr fontId="9"/>
  </si>
  <si>
    <t>Pipe line#5に洗浄機追加 (+Waxhing M/C）</t>
  </si>
  <si>
    <t xml:space="preserve">ベトナム工場Fine Blanking machine ３台増設　 </t>
  </si>
  <si>
    <t>A</t>
    <phoneticPr fontId="9"/>
  </si>
  <si>
    <t>D</t>
    <phoneticPr fontId="9"/>
  </si>
  <si>
    <t xml:space="preserve">エレメント材料(工程変更材）28/10拡大採用 </t>
  </si>
  <si>
    <t>EL7ﾍﾞﾄﾅﾑｴﾚﾒﾝﾄ熱処理炉追加</t>
  </si>
  <si>
    <t>LL11 能力増強、ﾛｰﾘﾝｸﾞ、SQC、ﾌｧｾｯﾄｲﾝｽﾍﾟｸｼｮﾝ追加</t>
  </si>
  <si>
    <r>
      <t>P</t>
    </r>
    <r>
      <rPr>
        <sz val="10"/>
        <color theme="1"/>
        <rFont val="Arial"/>
        <family val="2"/>
      </rPr>
      <t>1</t>
    </r>
  </si>
  <si>
    <t>P5PS</t>
    <phoneticPr fontId="9"/>
  </si>
  <si>
    <t>EL7ﾍﾞﾄﾅﾑｴﾚﾒﾝﾄﾃﾞﾊﾞﾘﾝｸﾞNo.1&amp;2装置導入</t>
  </si>
  <si>
    <t>SlpP(Assy line #10)にARE機種追加</t>
  </si>
  <si>
    <r>
      <t>P</t>
    </r>
    <r>
      <rPr>
        <sz val="10"/>
        <color theme="1"/>
        <rFont val="Arial"/>
        <family val="2"/>
      </rPr>
      <t>2</t>
    </r>
  </si>
  <si>
    <t>PS</t>
    <phoneticPr fontId="9"/>
  </si>
  <si>
    <t>2017/3/28cancel</t>
    <phoneticPr fontId="9"/>
  </si>
  <si>
    <t>AL5移設ﾍﾞﾄﾅﾑ→ﾒｷｼｺ</t>
  </si>
  <si>
    <t>AL16ﾍﾞﾄﾅﾑ新規導入</t>
  </si>
  <si>
    <t>LL9+PL5新規導入Step1</t>
  </si>
  <si>
    <t>AVO(JGZ向け）ループライン#6工順</t>
  </si>
  <si>
    <t>PAS</t>
    <phoneticPr fontId="9"/>
  </si>
  <si>
    <t xml:space="preserve">エレメント材料(工程変更材）AVO拡大採用 </t>
  </si>
  <si>
    <r>
      <t>P</t>
    </r>
    <r>
      <rPr>
        <sz val="10"/>
        <color theme="1"/>
        <rFont val="Arial"/>
        <family val="2"/>
      </rPr>
      <t>S</t>
    </r>
  </si>
  <si>
    <t>EL6ﾍﾞﾄﾅﾑ AVOｴﾚﾒﾝﾄ製造</t>
    <phoneticPr fontId="9"/>
  </si>
  <si>
    <t>AFB 28/10 ｴﾚﾒﾝﾄｵﾗﾝﾀﾞ製造</t>
  </si>
  <si>
    <t>Done</t>
  </si>
  <si>
    <t>AFB 28/10 ｵﾗﾝﾀﾞ組み立て</t>
  </si>
  <si>
    <t>AVO GU lite化</t>
  </si>
  <si>
    <t>Item 186に含まれる</t>
  </si>
  <si>
    <t>A</t>
  </si>
  <si>
    <t>ELMixing&amp;Washing入れ替え</t>
  </si>
  <si>
    <t>F0</t>
    <phoneticPr fontId="9"/>
  </si>
  <si>
    <t>started to coordinate the DRs</t>
    <phoneticPr fontId="9"/>
  </si>
  <si>
    <t>LL1Aｵﾗﾝﾀﾞﾙｰﾌﾟ洗浄機入れ替え</t>
  </si>
  <si>
    <t>LL1Bｵﾗﾝﾀﾞﾙｰﾌﾟ洗浄機入れ替え</t>
  </si>
  <si>
    <t>LL10,11ﾍﾞﾄﾅﾑ用ﾊﾞｯｸｱｯﾌﾟ炉</t>
  </si>
  <si>
    <t>F0P1</t>
    <phoneticPr fontId="9"/>
  </si>
  <si>
    <t>SlpP AL18ﾘﾘｰｽ 28/10、089</t>
  </si>
  <si>
    <t>PL; 溶接機追加</t>
  </si>
  <si>
    <r>
      <t>P</t>
    </r>
    <r>
      <rPr>
        <sz val="10"/>
        <color theme="1"/>
        <rFont val="Arial"/>
        <family val="2"/>
      </rPr>
      <t>5</t>
    </r>
    <phoneticPr fontId="9"/>
  </si>
  <si>
    <t>P1</t>
    <phoneticPr fontId="9"/>
  </si>
  <si>
    <t xml:space="preserve"> I</t>
    <phoneticPr fontId="9"/>
  </si>
  <si>
    <t>I</t>
    <phoneticPr fontId="9"/>
  </si>
  <si>
    <t>P2</t>
    <phoneticPr fontId="9"/>
  </si>
  <si>
    <t>[18-May] No further follow-up in this meeting required</t>
  </si>
  <si>
    <t>[18-May] No further follow-up in this meeting</t>
  </si>
  <si>
    <t>[23-May] 094 will use released LS from at that moment already released LL07; No additional activites foreseen for this release</t>
  </si>
  <si>
    <r>
      <t xml:space="preserve">[19-Jun] SOP/SOD confirmed by Tsu, both 12-Jun
[6-Jun] PSW received, no prio anymore, </t>
    </r>
    <r>
      <rPr>
        <sz val="10"/>
        <rFont val="Arial"/>
        <family val="2"/>
      </rPr>
      <t>SOP planned 12-Jun, SOP/SOD realization tbc by Tsu</t>
    </r>
    <r>
      <rPr>
        <sz val="10"/>
        <color theme="1"/>
        <rFont val="Arial"/>
        <family val="2"/>
      </rPr>
      <t xml:space="preserve">
[1-Jun]</t>
    </r>
    <r>
      <rPr>
        <sz val="10"/>
        <rFont val="Arial"/>
        <family val="2"/>
      </rPr>
      <t xml:space="preserve"> PSW approval not yet received,</t>
    </r>
    <r>
      <rPr>
        <sz val="10"/>
        <color theme="1"/>
        <rFont val="Arial"/>
        <family val="2"/>
      </rPr>
      <t xml:space="preserve"> add update missing doc. was necessary, expectation to get it until 2-Jun, SOP from 1 to 12-Jun due to delay PSW</t>
    </r>
  </si>
  <si>
    <t>Additional Rewinding @Nippon Kinzoku</t>
  </si>
  <si>
    <t>LS CKD HcP--&gt;SlpP 089</t>
  </si>
  <si>
    <r>
      <rPr>
        <sz val="10"/>
        <color theme="4" tint="-0.249977111117893"/>
        <rFont val="Arial"/>
        <family val="2"/>
      </rPr>
      <t xml:space="preserve">Blue: External alignment w/ Jatco
</t>
    </r>
    <r>
      <rPr>
        <sz val="10"/>
        <color rgb="FFFF0000"/>
        <rFont val="Arial"/>
        <family val="2"/>
      </rPr>
      <t>Red: Open items, resp defined in column AP</t>
    </r>
    <r>
      <rPr>
        <sz val="10"/>
        <color theme="1"/>
        <rFont val="Arial"/>
        <family val="2"/>
      </rPr>
      <t xml:space="preserve">
</t>
    </r>
  </si>
  <si>
    <t>Black: Internal alignment TbP/HcP/RBJP</t>
  </si>
  <si>
    <t>[27-Jun] Ta-M: No customer approval necessary
[20-Jun]info CP/PPG (GYo):  QMC13-JP Ta-M will present the topic on June 20th. to Jatco</t>
  </si>
  <si>
    <t>PL: New Pipe washing 1 PL5</t>
  </si>
  <si>
    <t>PL: LL11: Cutting/bending from PL3 to PL5 (Scope 2)</t>
  </si>
  <si>
    <t>ARE HcP向けループセット荷姿自動化</t>
  </si>
  <si>
    <t>HcP ベルトドライ梱包</t>
  </si>
  <si>
    <t>エレメント材料表面検査方法変更Einsal</t>
  </si>
  <si>
    <t>CKD 搬送 089Loop HcP--&gt;SlpP</t>
  </si>
  <si>
    <t>[26-Jun] Kaneko: to be included into 110</t>
  </si>
  <si>
    <t>ループ表面硬度測定頻度変更</t>
    <rPh sb="3" eb="5">
      <t>ヒョウメン</t>
    </rPh>
    <rPh sb="5" eb="7">
      <t>コウド</t>
    </rPh>
    <rPh sb="7" eb="9">
      <t>ソクテイ</t>
    </rPh>
    <rPh sb="9" eb="11">
      <t>ヒンド</t>
    </rPh>
    <rPh sb="11" eb="13">
      <t>ヘンコウ</t>
    </rPh>
    <phoneticPr fontId="9"/>
  </si>
  <si>
    <t>Kim
Dai</t>
  </si>
  <si>
    <t>Tsu</t>
  </si>
  <si>
    <t>要DR</t>
    <rPh sb="0" eb="1">
      <t>ヨウ</t>
    </rPh>
    <phoneticPr fontId="9"/>
  </si>
  <si>
    <t>Bas</t>
  </si>
  <si>
    <t>Backup furnace(LL6) for GU lines(LL10,11)</t>
  </si>
  <si>
    <r>
      <t xml:space="preserve">[10-Jul] Kimura: Date of F-DR#5-2 is not fixed yet. 
Updated result of safe launch to be issued by 7/7; By who?.
</t>
    </r>
    <r>
      <rPr>
        <sz val="10"/>
        <rFont val="Arial"/>
        <family val="2"/>
      </rPr>
      <t/>
    </r>
  </si>
  <si>
    <t xml:space="preserve">[4-Jul] Tsu: SOP is done on 3.July.
</t>
  </si>
  <si>
    <t>Communicate in Weekly w/ MQX</t>
  </si>
  <si>
    <t>Viktor</t>
  </si>
  <si>
    <t>Guillermo</t>
  </si>
  <si>
    <t>[14-Jul] Bas: Removed from list; since not needed anymore
[27-Jun] Adri: item 484 might not be needed, can be covered w/ #290, align w/ Koji
[25-Jun] Adri: Added as additional item, PSW S/A and SOP/SOD same as item 222, NPC S/R estimated; NPC to be submitted, R: Martin</t>
  </si>
  <si>
    <r>
      <t>APO(6</t>
    </r>
    <r>
      <rPr>
        <sz val="9"/>
        <rFont val="MS Gothic"/>
        <family val="3"/>
      </rPr>
      <t>層</t>
    </r>
    <r>
      <rPr>
        <sz val="9"/>
        <rFont val="Arial"/>
        <family val="2"/>
      </rPr>
      <t>)</t>
    </r>
    <r>
      <rPr>
        <sz val="9"/>
        <rFont val="MS Gothic"/>
        <family val="3"/>
      </rPr>
      <t>　</t>
    </r>
    <r>
      <rPr>
        <sz val="9"/>
        <rFont val="Arial"/>
        <family val="2"/>
      </rPr>
      <t>HcP</t>
    </r>
    <r>
      <rPr>
        <sz val="9"/>
        <rFont val="MS Gothic"/>
        <family val="3"/>
      </rPr>
      <t>から</t>
    </r>
    <r>
      <rPr>
        <sz val="9"/>
        <rFont val="Arial"/>
        <family val="2"/>
      </rPr>
      <t>SlpP</t>
    </r>
    <r>
      <rPr>
        <sz val="9"/>
        <rFont val="MS Gothic"/>
        <family val="3"/>
      </rPr>
      <t>のループセット供給追加　</t>
    </r>
  </si>
  <si>
    <r>
      <t>LL4C(</t>
    </r>
    <r>
      <rPr>
        <sz val="9"/>
        <rFont val="MS Gothic"/>
        <family val="3"/>
      </rPr>
      <t>オランダのループライン</t>
    </r>
    <r>
      <rPr>
        <sz val="9"/>
        <rFont val="Arial"/>
        <family val="2"/>
      </rPr>
      <t>4C)</t>
    </r>
    <r>
      <rPr>
        <sz val="9"/>
        <rFont val="MS Gothic"/>
        <family val="3"/>
      </rPr>
      <t>に</t>
    </r>
    <r>
      <rPr>
        <sz val="9"/>
        <rFont val="Arial"/>
        <family val="2"/>
      </rPr>
      <t xml:space="preserve"> GU light </t>
    </r>
    <r>
      <rPr>
        <sz val="9"/>
        <rFont val="MS Gothic"/>
        <family val="3"/>
      </rPr>
      <t>工法採用の件</t>
    </r>
  </si>
  <si>
    <r>
      <t xml:space="preserve">element </t>
    </r>
    <r>
      <rPr>
        <sz val="9"/>
        <rFont val="MS Gothic"/>
        <family val="3"/>
      </rPr>
      <t>供給先変更の件　（新</t>
    </r>
    <r>
      <rPr>
        <sz val="9"/>
        <rFont val="Arial"/>
        <family val="2"/>
      </rPr>
      <t xml:space="preserve">)Hcp </t>
    </r>
    <r>
      <rPr>
        <sz val="9"/>
        <rFont val="MS PGothic"/>
        <family val="2"/>
      </rPr>
      <t>→</t>
    </r>
    <r>
      <rPr>
        <sz val="9"/>
        <rFont val="Arial"/>
        <family val="2"/>
      </rPr>
      <t xml:space="preserve"> SLpP </t>
    </r>
    <r>
      <rPr>
        <sz val="9"/>
        <rFont val="MS Gothic"/>
        <family val="3"/>
      </rPr>
      <t>　</t>
    </r>
  </si>
  <si>
    <r>
      <rPr>
        <sz val="9"/>
        <rFont val="MS Gothic"/>
        <family val="3"/>
      </rPr>
      <t>パイプライン</t>
    </r>
    <r>
      <rPr>
        <sz val="9"/>
        <rFont val="Arial"/>
        <family val="2"/>
      </rPr>
      <t>1</t>
    </r>
    <r>
      <rPr>
        <sz val="9"/>
        <rFont val="MS Gothic"/>
        <family val="3"/>
      </rPr>
      <t>ライン増設の為、パイプライン内装置編成見直しによる</t>
    </r>
    <r>
      <rPr>
        <sz val="9"/>
        <rFont val="Arial"/>
        <family val="2"/>
      </rPr>
      <t>cutting&amp; bending mc</t>
    </r>
    <r>
      <rPr>
        <sz val="9"/>
        <rFont val="MS Gothic"/>
        <family val="3"/>
      </rPr>
      <t>と</t>
    </r>
    <r>
      <rPr>
        <sz val="9"/>
        <rFont val="Arial"/>
        <family val="2"/>
      </rPr>
      <t>welding mc</t>
    </r>
    <r>
      <rPr>
        <sz val="9"/>
        <rFont val="MS Gothic"/>
        <family val="3"/>
      </rPr>
      <t>の移動</t>
    </r>
  </si>
  <si>
    <r>
      <t xml:space="preserve">HcP </t>
    </r>
    <r>
      <rPr>
        <sz val="9"/>
        <rFont val="MS Gothic"/>
        <family val="3"/>
      </rPr>
      <t>向けループセット荷姿自動化</t>
    </r>
    <r>
      <rPr>
        <sz val="9"/>
        <rFont val="Arial"/>
        <family val="2"/>
      </rPr>
      <t>(</t>
    </r>
    <r>
      <rPr>
        <sz val="9"/>
        <rFont val="MS Gothic"/>
        <family val="3"/>
      </rPr>
      <t>拡大採用</t>
    </r>
    <r>
      <rPr>
        <sz val="9"/>
        <rFont val="Arial"/>
        <family val="2"/>
      </rPr>
      <t>072,078,081,083,090,094</t>
    </r>
    <r>
      <rPr>
        <sz val="9"/>
        <rFont val="MS Gothic"/>
        <family val="3"/>
      </rPr>
      <t>）</t>
    </r>
    <r>
      <rPr>
        <sz val="9"/>
        <rFont val="Arial"/>
        <family val="2"/>
      </rPr>
      <t xml:space="preserve"> </t>
    </r>
  </si>
  <si>
    <r>
      <t>SlpP</t>
    </r>
    <r>
      <rPr>
        <sz val="9"/>
        <rFont val="MS Gothic"/>
        <family val="3"/>
      </rPr>
      <t>向けループセット荷姿自動化</t>
    </r>
    <r>
      <rPr>
        <sz val="9"/>
        <rFont val="Arial"/>
        <family val="2"/>
      </rPr>
      <t>(</t>
    </r>
    <r>
      <rPr>
        <sz val="9"/>
        <rFont val="MS Gothic"/>
        <family val="3"/>
      </rPr>
      <t>拡大採用</t>
    </r>
    <r>
      <rPr>
        <sz val="9"/>
        <rFont val="Arial"/>
        <family val="2"/>
      </rPr>
      <t>068,078,090,094</t>
    </r>
    <r>
      <rPr>
        <sz val="9"/>
        <rFont val="MS Gothic"/>
        <family val="3"/>
      </rPr>
      <t>）</t>
    </r>
    <r>
      <rPr>
        <sz val="9"/>
        <rFont val="Arial"/>
        <family val="2"/>
      </rPr>
      <t xml:space="preserve"> NPC P-11056に含まれる</t>
    </r>
  </si>
  <si>
    <r>
      <t>APO</t>
    </r>
    <r>
      <rPr>
        <strike/>
        <sz val="9"/>
        <rFont val="Arial"/>
        <family val="2"/>
      </rPr>
      <t>/AVO</t>
    </r>
    <r>
      <rPr>
        <sz val="9"/>
        <rFont val="Arial"/>
        <family val="2"/>
      </rPr>
      <t xml:space="preserve"> SLpP</t>
    </r>
    <r>
      <rPr>
        <sz val="9"/>
        <rFont val="ＭＳ Ｐゴシック"/>
        <family val="3"/>
        <charset val="128"/>
      </rPr>
      <t>･</t>
    </r>
    <r>
      <rPr>
        <sz val="9"/>
        <rFont val="Arial"/>
        <family val="2"/>
      </rPr>
      <t xml:space="preserve">HcP </t>
    </r>
    <r>
      <rPr>
        <sz val="9"/>
        <rFont val="MS Gothic"/>
        <family val="3"/>
      </rPr>
      <t>向けループセット荷姿自動化</t>
    </r>
    <r>
      <rPr>
        <sz val="9"/>
        <rFont val="Arial"/>
        <family val="2"/>
      </rPr>
      <t xml:space="preserve">  </t>
    </r>
    <phoneticPr fontId="9"/>
  </si>
  <si>
    <r>
      <t>AVO GU lite</t>
    </r>
    <r>
      <rPr>
        <sz val="9"/>
        <rFont val="ＭＳ Ｐゴシック"/>
        <family val="3"/>
        <charset val="128"/>
      </rPr>
      <t>ベトナム組み立て</t>
    </r>
    <phoneticPr fontId="9"/>
  </si>
  <si>
    <r>
      <t xml:space="preserve">AZO </t>
    </r>
    <r>
      <rPr>
        <sz val="9"/>
        <rFont val="ＭＳ Ｐゴシック"/>
        <family val="3"/>
        <charset val="128"/>
      </rPr>
      <t>新ベルトリリース</t>
    </r>
    <phoneticPr fontId="9"/>
  </si>
  <si>
    <r>
      <t xml:space="preserve">[14-Jul] PSW A received on 14-Jul; SOP start 14-7; SOD at 14-7 material was in warehouse; Proposal to stop tracking
[12-Jul] P-DR35 passed with homework. PSW-A must be 14-Jul latest, else no belts at Jatco on Monday.
[11-Jul] P-DR3/5 postponed to 12-Jul. </t>
    </r>
    <r>
      <rPr>
        <sz val="10"/>
        <color rgb="FFFF0000"/>
        <rFont val="Arial"/>
        <family val="2"/>
      </rPr>
      <t xml:space="preserve">
</t>
    </r>
    <r>
      <rPr>
        <sz val="10"/>
        <color theme="1"/>
        <rFont val="Arial"/>
        <family val="2"/>
      </rPr>
      <t>[9-Jul] Bas: P-DR3/5 postponed due to reviewer time conflict. PSW-A,SOP and SOD dates NOK
[3-Jul] Kim: P-DR3/5 on 30-Jun was cancelled due to poor material. Updated concern list to be submitted by 5-Jul.for P-DR3/5 on 10-Jul.</t>
    </r>
    <r>
      <rPr>
        <sz val="10"/>
        <rFont val="Arial"/>
        <family val="2"/>
      </rPr>
      <t xml:space="preserve">
</t>
    </r>
    <r>
      <rPr>
        <sz val="10"/>
        <color theme="1"/>
        <rFont val="Arial"/>
        <family val="2"/>
      </rPr>
      <t/>
    </r>
  </si>
  <si>
    <t>done</t>
    <phoneticPr fontId="9"/>
  </si>
  <si>
    <r>
      <t>[18-Jul] Bas: PSW A on 18-Jul; SOP not started due to no demand;</t>
    </r>
    <r>
      <rPr>
        <sz val="10"/>
        <color theme="1"/>
        <rFont val="Arial"/>
        <family val="2"/>
      </rPr>
      <t xml:space="preserve">
[12-Jul] Confirmation from JMEX that PSW A is OK
[10-Jul] KIM: HW to be finished by 11-Jul. 
[5-Jul] Adri: HW sent on 5-Jul: Kimura-san to ask for Jatco reply, expectation within 2-3days</t>
    </r>
    <r>
      <rPr>
        <sz val="10"/>
        <rFont val="Arial"/>
        <family val="2"/>
      </rPr>
      <t xml:space="preserve">
[4-Jul] Kimura, the HW was submitted on 3-Jul.</t>
    </r>
    <r>
      <rPr>
        <sz val="10"/>
        <color theme="1"/>
        <rFont val="Arial"/>
        <family val="2"/>
      </rPr>
      <t xml:space="preserve">
</t>
    </r>
    <r>
      <rPr>
        <sz val="10"/>
        <color rgb="FFFF0000"/>
        <rFont val="Arial"/>
        <family val="2"/>
      </rPr>
      <t xml:space="preserve">
</t>
    </r>
    <r>
      <rPr>
        <sz val="10"/>
        <rFont val="Arial"/>
        <family val="2"/>
      </rPr>
      <t/>
    </r>
  </si>
  <si>
    <t>done</t>
    <phoneticPr fontId="9"/>
  </si>
  <si>
    <t>AFB 2810GU EL TbP</t>
  </si>
  <si>
    <t>LL12 SLBに対応するための改造</t>
  </si>
  <si>
    <t>巻き直し装置追加</t>
  </si>
  <si>
    <t>CKD搬送HcP-&gt;SlpP</t>
  </si>
  <si>
    <t>No NPC required</t>
  </si>
  <si>
    <t>Same as 290</t>
  </si>
  <si>
    <t>[26-Jul] PSW received, prio-status ack to standard
[25-Jul] PDR35 passed without homework
[24-Jul] Kim: P-DR3/5 will be held on 25-7 for SOP on 27-7..
[19-Jul] Dates changed due to LOG statement; SOD must be 27-7 else not belts @ Jatco
[14-Jul] Bas: Confrim SOD with Adri B/Aug; next critical item; Done: Proposal Adri SOD mo 7-8; Confirm PSW S date
[13-Jul] PSW S shared with QMC13-JP on 13 Jul, material shared with MQX? Done
[11-Jul] QGR4 to be approved by StC; Material prepared but not submitted; submit on 12-Jul
[4-Jul] PSW A will shift to B-Aug
[3-Jul] AvZ: proposal to make prio
[3-Jul] Kaneko: Updated concern list for P-DR3/5 to be received by 13-Jul. P-DR3/5 is scheduled on 17-Jul.
[29-Jun] KIM; P-DR#3/5 was canceled according to HcP request. Preparation date of concern list is needed for re-schedule.</t>
  </si>
  <si>
    <r>
      <rPr>
        <sz val="10"/>
        <color theme="1"/>
        <rFont val="Arial"/>
        <family val="2"/>
      </rPr>
      <t>[26-Jul] PSW received, prio-status ack to standard
[25-Jul] PDR35 passed without homework
[24-Jul] Kim: HW from P-DR3/5 were submitted. PSW-A can be received on 24-7.
[19-Jul] Dates changed due to LOG statement; SOD must be 27-7 else not belts @ Jatco
[17-Jul] Master sample to be delivered on 7/18; Submit during F2F</t>
    </r>
    <r>
      <rPr>
        <sz val="10"/>
        <color rgb="FFFF0000"/>
        <rFont val="Arial"/>
        <family val="2"/>
      </rPr>
      <t xml:space="preserve">
</t>
    </r>
    <r>
      <rPr>
        <sz val="10"/>
        <color theme="1"/>
        <rFont val="Arial"/>
        <family val="2"/>
      </rPr>
      <t>[14-Jul] PSW S shared with QMC13-JP on 13 Jul, material shared with MQX? Done: Submitted on 17-7</t>
    </r>
    <r>
      <rPr>
        <sz val="10"/>
        <color rgb="FFFF0000"/>
        <rFont val="Arial"/>
        <family val="2"/>
      </rPr>
      <t xml:space="preserve">
</t>
    </r>
    <r>
      <rPr>
        <sz val="10"/>
        <color theme="1"/>
        <rFont val="Arial"/>
        <family val="2"/>
      </rPr>
      <t>[14-Jul] Bas: Confrim SOD with Adri B/Aug; next critical item; Done proposal Adri SOD mo 10-8
[11-Jul] PSW-S to 12-Jul to to QGR4 approval by StC. Confirm submission of material to all QMC members
[10-Jul] Kaneko: P-DR3/5 was postponed to 21-Jul.
[4-Jul] Tsu to check status material preparation due 7-Jul w/ Quan today and inform team by mail
[04-Jul] Tsu: PSW S is not done since still validation is not done yet. Confirming internally HcP due dates.
[29-Jun] Kaneko; Bosch has to deliver the master belts to Jatco by 17-Jul. for PSW-A on 31-Jul.</t>
    </r>
    <r>
      <rPr>
        <sz val="10"/>
        <rFont val="Arial"/>
        <family val="2"/>
      </rPr>
      <t xml:space="preserve">
</t>
    </r>
  </si>
  <si>
    <t>Appl. Jatco APO (GU light) LL07  (LEM 1+2+3)</t>
    <phoneticPr fontId="9"/>
  </si>
  <si>
    <t>GU</t>
  </si>
  <si>
    <t>Martin</t>
  </si>
  <si>
    <t>Master belt</t>
  </si>
  <si>
    <t>-</t>
    <phoneticPr fontId="9"/>
  </si>
  <si>
    <t>-</t>
    <phoneticPr fontId="9"/>
  </si>
  <si>
    <t>-</t>
    <phoneticPr fontId="9"/>
  </si>
  <si>
    <t>done</t>
    <phoneticPr fontId="9"/>
  </si>
  <si>
    <t>P-DR01</t>
  </si>
  <si>
    <t>Risk review</t>
  </si>
  <si>
    <t>P-DR35</t>
  </si>
  <si>
    <t>Tuan</t>
  </si>
  <si>
    <r>
      <rPr>
        <b/>
        <sz val="8"/>
        <color theme="1"/>
        <rFont val="Arial"/>
        <family val="2"/>
      </rPr>
      <t xml:space="preserve">Internal </t>
    </r>
    <r>
      <rPr>
        <b/>
        <sz val="10"/>
        <color theme="1"/>
        <rFont val="Arial"/>
        <family val="2"/>
      </rPr>
      <t>SOP</t>
    </r>
  </si>
  <si>
    <t>done</t>
    <phoneticPr fontId="9"/>
  </si>
  <si>
    <t>P2</t>
    <phoneticPr fontId="9"/>
  </si>
  <si>
    <r>
      <t>AP</t>
    </r>
    <r>
      <rPr>
        <sz val="9"/>
        <color rgb="FFFF0000"/>
        <rFont val="Arial"/>
        <family val="2"/>
      </rPr>
      <t>S</t>
    </r>
    <r>
      <rPr>
        <sz val="9"/>
        <rFont val="Arial"/>
        <family val="2"/>
      </rPr>
      <t xml:space="preserve"> V2</t>
    </r>
    <r>
      <rPr>
        <sz val="9"/>
        <rFont val="ＭＳ Ｐゴシック"/>
        <family val="3"/>
        <charset val="128"/>
      </rPr>
      <t>組み立て工程ベトナム移管</t>
    </r>
    <phoneticPr fontId="9"/>
  </si>
  <si>
    <r>
      <t>GU PL5 PL4</t>
    </r>
    <r>
      <rPr>
        <sz val="9"/>
        <rFont val="ＭＳ Ｐゴシック"/>
        <family val="3"/>
        <charset val="128"/>
      </rPr>
      <t>溶接機の</t>
    </r>
    <r>
      <rPr>
        <sz val="9"/>
        <rFont val="Arial"/>
        <family val="2"/>
      </rPr>
      <t>PL5</t>
    </r>
    <r>
      <rPr>
        <sz val="9"/>
        <rFont val="ＭＳ Ｐゴシック"/>
        <family val="3"/>
        <charset val="128"/>
      </rPr>
      <t>への移動</t>
    </r>
    <r>
      <rPr>
        <sz val="9"/>
        <color rgb="FFFF0000"/>
        <rFont val="Arial"/>
        <family val="2"/>
      </rPr>
      <t/>
    </r>
    <phoneticPr fontId="9"/>
  </si>
  <si>
    <r>
      <t>PL:</t>
    </r>
    <r>
      <rPr>
        <sz val="9"/>
        <rFont val="ＭＳ Ｐゴシック"/>
        <family val="3"/>
        <charset val="128"/>
      </rPr>
      <t>パイプ洗浄機追加</t>
    </r>
    <phoneticPr fontId="9"/>
  </si>
  <si>
    <r>
      <t xml:space="preserve">PL: </t>
    </r>
    <r>
      <rPr>
        <sz val="9"/>
        <rFont val="ＭＳ Ｐゴシック"/>
        <family val="3"/>
        <charset val="128"/>
      </rPr>
      <t>パイプ洗浄機の移動</t>
    </r>
    <r>
      <rPr>
        <sz val="9"/>
        <rFont val="Arial"/>
        <family val="2"/>
      </rPr>
      <t xml:space="preserve"> PL3 </t>
    </r>
    <r>
      <rPr>
        <sz val="9"/>
        <rFont val="ＭＳ Ｐゴシック"/>
        <family val="3"/>
        <charset val="128"/>
      </rPr>
      <t>から</t>
    </r>
    <r>
      <rPr>
        <sz val="9"/>
        <rFont val="Arial"/>
        <family val="2"/>
      </rPr>
      <t>PL4</t>
    </r>
    <phoneticPr fontId="9"/>
  </si>
  <si>
    <r>
      <t xml:space="preserve">PL; </t>
    </r>
    <r>
      <rPr>
        <sz val="9"/>
        <rFont val="ＭＳ Ｐゴシック"/>
        <family val="3"/>
        <charset val="128"/>
      </rPr>
      <t>溶接機</t>
    </r>
    <r>
      <rPr>
        <sz val="9"/>
        <color rgb="FFFF0000"/>
        <rFont val="ＭＳ Ｐゴシック"/>
        <family val="3"/>
        <charset val="128"/>
      </rPr>
      <t>１</t>
    </r>
    <r>
      <rPr>
        <sz val="9"/>
        <rFont val="ＭＳ Ｐゴシック"/>
        <family val="3"/>
        <charset val="128"/>
      </rPr>
      <t>号機の移動</t>
    </r>
    <r>
      <rPr>
        <sz val="9"/>
        <rFont val="Arial"/>
        <family val="2"/>
      </rPr>
      <t xml:space="preserve"> PL3 </t>
    </r>
    <r>
      <rPr>
        <sz val="9"/>
        <rFont val="ＭＳ Ｐゴシック"/>
        <family val="3"/>
        <charset val="128"/>
      </rPr>
      <t>から</t>
    </r>
    <r>
      <rPr>
        <sz val="9"/>
        <rFont val="Arial"/>
        <family val="2"/>
      </rPr>
      <t xml:space="preserve"> PL4</t>
    </r>
    <phoneticPr fontId="9"/>
  </si>
  <si>
    <t>DR status updated as of 25/Aug</t>
    <phoneticPr fontId="9"/>
  </si>
  <si>
    <r>
      <rPr>
        <sz val="10"/>
        <color theme="1"/>
        <rFont val="Arial"/>
        <family val="2"/>
      </rPr>
      <t>PL: Reloc. Weld.4 PL4--&gt;5</t>
    </r>
  </si>
  <si>
    <r>
      <t xml:space="preserve">[22-Aug] Bas: ECR still not closed; SOP done 28-8 stop following
[1-Aug] Machine still broken, expected SOP 14-8
[05-Jul] Washing machine is broken down. Fixing schedule till 14.Jul, </t>
    </r>
    <r>
      <rPr>
        <sz val="10"/>
        <color rgb="FFFF0000"/>
        <rFont val="Arial"/>
        <family val="2"/>
      </rPr>
      <t>Confirm actual SOP/SOD</t>
    </r>
  </si>
  <si>
    <t>[22-Aug] Bas: ECR not closed; SOP done 28-8 stop following
[16-Aug] Adri: prio-status removed
[15-Aug] Bas: SOP not started yet due to ECR not closed
[10-Aug] Bas: PSW-Approval received on 10-August; 4 days earlier</t>
  </si>
  <si>
    <t>LL9 LSDH furnace as backup for LL10,11</t>
  </si>
  <si>
    <r>
      <t>LL7(</t>
    </r>
    <r>
      <rPr>
        <sz val="9"/>
        <rFont val="ＭＳ Ｐゴシック"/>
        <family val="3"/>
        <charset val="128"/>
      </rPr>
      <t>ベトナム</t>
    </r>
    <r>
      <rPr>
        <sz val="9"/>
        <rFont val="Arial"/>
        <family val="2"/>
      </rPr>
      <t>) GU lite</t>
    </r>
    <r>
      <rPr>
        <sz val="9"/>
        <rFont val="ＭＳ Ｐゴシック"/>
        <family val="3"/>
        <charset val="128"/>
      </rPr>
      <t>ライン化</t>
    </r>
    <r>
      <rPr>
        <sz val="9"/>
        <color rgb="FFFF0000"/>
        <rFont val="ＭＳ Ｐゴシック"/>
        <family val="3"/>
        <charset val="128"/>
      </rPr>
      <t>(GU lite最終)</t>
    </r>
    <rPh sb="29" eb="31">
      <t>サイシュウ</t>
    </rPh>
    <phoneticPr fontId="9"/>
  </si>
  <si>
    <r>
      <t>EL7</t>
    </r>
    <r>
      <rPr>
        <sz val="9"/>
        <rFont val="ＭＳ Ｐゴシック"/>
        <family val="3"/>
        <charset val="128"/>
      </rPr>
      <t>ﾍﾞﾄﾅﾑｴﾚﾒﾝﾄﾃﾞﾊﾞﾘﾝｸﾞ</t>
    </r>
    <r>
      <rPr>
        <sz val="9"/>
        <rFont val="Arial"/>
        <family val="2"/>
      </rPr>
      <t>No.3&amp;4</t>
    </r>
    <r>
      <rPr>
        <sz val="9"/>
        <rFont val="ＭＳ Ｐゴシック"/>
        <family val="3"/>
        <charset val="128"/>
      </rPr>
      <t>装置導入</t>
    </r>
    <r>
      <rPr>
        <sz val="9"/>
        <color rgb="FFFF0000"/>
        <rFont val="ＭＳ Ｐゴシック"/>
        <family val="3"/>
        <charset val="128"/>
      </rPr>
      <t>(ｴﾚﾒﾝﾄﾗｲﾝ最終)</t>
    </r>
    <rPh sb="40" eb="42">
      <t>サイシュウ</t>
    </rPh>
    <phoneticPr fontId="9"/>
  </si>
  <si>
    <r>
      <t>LL9 LSDH</t>
    </r>
    <r>
      <rPr>
        <sz val="9"/>
        <color rgb="FFFF0000"/>
        <rFont val="ＭＳ Ｐゴシック"/>
        <family val="3"/>
        <charset val="128"/>
      </rPr>
      <t>　LL10,11向けﾊﾞｯｸｱｯﾌﾟ炉</t>
    </r>
    <rPh sb="16" eb="17">
      <t>ム</t>
    </rPh>
    <rPh sb="26" eb="27">
      <t>ロ</t>
    </rPh>
    <phoneticPr fontId="9"/>
  </si>
  <si>
    <r>
      <t>[11-Sep] Adri: Final SOP/SOD acc mail Sato-san 1-Sep: SOP from 15-Aug to 5-Sep and SOD from 1-Sep to 14-Sep
[22-Aug] Bas: ECR still not closed
[7-Aug] Adri: SOP from 31-Jul to 15-Aug due to PPAP-issues @ supplier need to be solved
[1-Aug] Full PSW Approval received 1 month later due to additional Homework and priority for NNph3 28/10</t>
    </r>
    <r>
      <rPr>
        <sz val="10"/>
        <color theme="1"/>
        <rFont val="Arial"/>
        <family val="2"/>
      </rPr>
      <t/>
    </r>
  </si>
  <si>
    <t>[12-Sep] Bas: Cancelled as stated during the IPN review of 12-Sept
[2-Jun] Update HJvL: Discussion w/ engineering still ongoing; No short term tracking in this meeting
[16-May] Proposed design rejected by Jatco-engineering; Asking LOG for new schedule (Tsu)</t>
  </si>
  <si>
    <t>PL:Relocate  welding 3 within PL4</t>
  </si>
  <si>
    <t>28-9</t>
  </si>
  <si>
    <t>29-9</t>
  </si>
  <si>
    <t>APO 078 AL10 SlpP, incl CKD LS HcP to SlpP</t>
  </si>
  <si>
    <r>
      <t>[9-Oct] Adri: In MPS no production 089 planned on AL10 until End of this year. Next year we will need this capacity
[3-Oct] Adri: check SOP-date @ SlpP
[29-Aug] Bas: QA-list to be filled in; due 31-Aug; done</t>
    </r>
    <r>
      <rPr>
        <sz val="10"/>
        <color rgb="FFFF0000"/>
        <rFont val="Arial"/>
        <family val="2"/>
      </rPr>
      <t xml:space="preserve">
To confirm audit points are horizontally deployed between HcP and TbP</t>
    </r>
    <r>
      <rPr>
        <sz val="10"/>
        <color theme="1"/>
        <rFont val="Arial"/>
        <family val="2"/>
      </rPr>
      <t xml:space="preserve">
[15-Aug] Bas: JMEX audit at 25-Aug</t>
    </r>
  </si>
  <si>
    <r>
      <rPr>
        <sz val="10"/>
        <rFont val="Arial"/>
        <family val="2"/>
      </rPr>
      <t>[10-Oct] Adri: Actual SOP 10-Oct 11:00
[6-Oct] Adri: Actual SOP to be provided by HcP</t>
    </r>
    <r>
      <rPr>
        <sz val="10"/>
        <color rgb="FFFF0000"/>
        <rFont val="Arial"/>
        <family val="2"/>
      </rPr>
      <t xml:space="preserve">
</t>
    </r>
    <r>
      <rPr>
        <sz val="10"/>
        <rFont val="Arial"/>
        <family val="2"/>
      </rPr>
      <t>[6-Oct] Kaneko: P-DR3/5 passed and PSW A was issued.</t>
    </r>
    <r>
      <rPr>
        <sz val="10"/>
        <color theme="1"/>
        <rFont val="Arial"/>
        <family val="2"/>
      </rPr>
      <t xml:space="preserve">
[3-Oct] Tak-Minoru: Homework was submitted on 2nd Oct, MQX to confirm</t>
    </r>
    <r>
      <rPr>
        <sz val="10"/>
        <rFont val="Arial"/>
        <family val="2"/>
      </rPr>
      <t/>
    </r>
  </si>
  <si>
    <t xml:space="preserve">
Bas</t>
  </si>
  <si>
    <t>13-10</t>
  </si>
  <si>
    <t>GUL</t>
  </si>
  <si>
    <t>Backup furnace GU light LL06</t>
  </si>
  <si>
    <t>AL17</t>
  </si>
  <si>
    <t>New AL17 HcP</t>
  </si>
  <si>
    <t>[27-Jun] Ta-M: No customere approval necessary
[19-Jun] neccesity of NPC is confirming in MQX. (decision by Yoshida-Mgr.) date tbd
[6-Jun] Peter shortly explained content to Ta-J
[1-Jun] Kimura-san please follow-up w/ Jatco planning
[25-May] Jatco started to coordinate the DRs. But not yet decided.</t>
  </si>
  <si>
    <r>
      <rPr>
        <sz val="10"/>
        <rFont val="Arial"/>
        <family val="2"/>
      </rPr>
      <t xml:space="preserve">30-10-2017: Adri:  Dispatch from HcP: 26-Oct, </t>
    </r>
    <r>
      <rPr>
        <sz val="10"/>
        <color rgb="FFFF0000"/>
        <rFont val="Arial"/>
        <family val="2"/>
      </rPr>
      <t>Arrival @ Jatco expected 6-Nov</t>
    </r>
    <r>
      <rPr>
        <sz val="10"/>
        <rFont val="Arial"/>
        <family val="2"/>
      </rPr>
      <t xml:space="preserve">
19-10-2017 </t>
    </r>
    <r>
      <rPr>
        <sz val="10"/>
        <color rgb="FFFF0000"/>
        <rFont val="Arial"/>
        <family val="2"/>
      </rPr>
      <t>Adri: Actual SOD to be confirmed by HcP:</t>
    </r>
    <r>
      <rPr>
        <sz val="10"/>
        <rFont val="Arial"/>
        <family val="2"/>
      </rPr>
      <t xml:space="preserve">
12-10-2017: Adri: Suzuki-approval received on 12th Oct, priority marking removed
[11-Oct] Adri: Updated SOP/SOD date acc alignment w/ Jatco from 22-Sep/16-Oct into 6-Oct/6-Nov
[10-Oct] Jatco approval to deliver to Jatco is available, however Suzuki-approval still pending, SOP from 6-Oct, expected delivery to Jatco B -Nov
[3-Oct] Tak-Minoru: Suzuki-approval expected within this week</t>
    </r>
    <r>
      <rPr>
        <sz val="10"/>
        <color rgb="FFFF0000"/>
        <rFont val="Arial"/>
        <family val="2"/>
      </rPr>
      <t/>
    </r>
  </si>
  <si>
    <t>Dispatch from
 Bosch plant</t>
  </si>
  <si>
    <t>Arrival at
 customer</t>
  </si>
  <si>
    <r>
      <t xml:space="preserve">06-11-2017: Adri, SOP start packaging and dispatch 9-Nov, expected arrival @ customer one week later?
03-11-2017 Adri: PSW A received from JMex 02-Nov, prio-indication removed
11/1/2017 Waiting for PSW Approval from JMEX; they are waiting for sample validation report
10/25/2017 Bas: Martin will have meeting on 25Oct, understood importance of getting PSW before 1 Nov. 
</t>
    </r>
    <r>
      <rPr>
        <sz val="10"/>
        <rFont val="Arial"/>
        <family val="2"/>
      </rPr>
      <t>[20-Oct] Kaneko: P-DR3/5 closed</t>
    </r>
    <r>
      <rPr>
        <sz val="10"/>
        <color rgb="FFFF0000"/>
        <rFont val="Arial"/>
        <family val="2"/>
      </rPr>
      <t xml:space="preserve">
</t>
    </r>
    <r>
      <rPr>
        <sz val="10"/>
        <rFont val="Arial"/>
        <family val="2"/>
      </rPr>
      <t>20-10-2017: Tak-M HW done P-DR35 finished, PSW A expected B cw43</t>
    </r>
    <r>
      <rPr>
        <sz val="10"/>
        <color rgb="FFFF0000"/>
        <rFont val="Arial"/>
        <family val="2"/>
      </rPr>
      <t xml:space="preserve">
</t>
    </r>
    <r>
      <rPr>
        <sz val="10"/>
        <rFont val="Arial"/>
        <family val="2"/>
      </rPr>
      <t>19-10-2017: Adri: info from Kim: HW submitted 19th, review by Jatco  19th</t>
    </r>
    <r>
      <rPr>
        <sz val="10"/>
        <color rgb="FFFF0000"/>
        <rFont val="Arial"/>
        <family val="2"/>
      </rPr>
      <t xml:space="preserve">
</t>
    </r>
    <r>
      <rPr>
        <sz val="10"/>
        <rFont val="Arial"/>
        <family val="2"/>
      </rPr>
      <t>[11-Oct] Kaneko: HW need to be finished to close P-DR3/5. HW reporting date is schedule on 18-Oct.</t>
    </r>
    <r>
      <rPr>
        <sz val="10"/>
        <color rgb="FFFF0000"/>
        <rFont val="Arial"/>
        <family val="2"/>
      </rPr>
      <t xml:space="preserve">
</t>
    </r>
    <r>
      <rPr>
        <sz val="10"/>
        <color theme="1"/>
        <rFont val="Arial"/>
        <family val="2"/>
      </rPr>
      <t>[10-Oct] Adri: P-DR#3/5 ongoing now
[3-Oct] Dai: PSW S done by SlpP on 29-Sep; Pre- DR#3,5 ongoing on 3-Oct, answer Questions  
(</t>
    </r>
    <r>
      <rPr>
        <sz val="10"/>
        <rFont val="Arial"/>
        <family val="2"/>
      </rPr>
      <t>Please send copy of PSW S to HcP/TbP for info)</t>
    </r>
    <r>
      <rPr>
        <sz val="10"/>
        <color theme="1"/>
        <rFont val="Arial"/>
        <family val="2"/>
      </rPr>
      <t xml:space="preserve">
</t>
    </r>
    <r>
      <rPr>
        <sz val="10"/>
        <rFont val="Arial"/>
        <family val="2"/>
      </rPr>
      <t/>
    </r>
  </si>
  <si>
    <t>External SOP</t>
  </si>
  <si>
    <r>
      <t>08-11-2017 Release; stop tracking in Reguar release meeting
10/2</t>
    </r>
    <r>
      <rPr>
        <sz val="10"/>
        <rFont val="Arial"/>
        <family val="2"/>
      </rPr>
      <t>4/2017 Bas: Confirm Frozen period timing with Koji/Hoa</t>
    </r>
    <r>
      <rPr>
        <sz val="10"/>
        <color theme="1"/>
        <rFont val="Arial"/>
        <family val="2"/>
      </rPr>
      <t xml:space="preserve">
[11-Oct] Adri: SOD from 1-Dec to 13-Dec based on info from Hoa, see also comment in cell X13
[10-Oct] Kim: Jatco got customer approval; </t>
    </r>
    <r>
      <rPr>
        <sz val="10"/>
        <color rgb="FFFF0000"/>
        <rFont val="Arial"/>
        <family val="2"/>
      </rPr>
      <t>Hoa to inform GS-CT/JP "hatsumono” shipping schedule end Nov</t>
    </r>
    <r>
      <rPr>
        <sz val="10"/>
        <color theme="1"/>
        <rFont val="Arial"/>
        <family val="2"/>
      </rPr>
      <t xml:space="preserve">
[3-Oct] Adri: Prio-marking removed: Was line started on 2-Oct? Yes; Martijn: HcP LOG confirmed that </t>
    </r>
    <r>
      <rPr>
        <sz val="10"/>
        <rFont val="Arial"/>
        <family val="2"/>
      </rPr>
      <t>we have enough stock from LL4C to deliver to Jatco since we have to wait for delivery until 1-Dec due to frozen period</t>
    </r>
    <r>
      <rPr>
        <sz val="10"/>
        <color theme="1"/>
        <rFont val="Arial"/>
        <family val="2"/>
      </rPr>
      <t xml:space="preserve">
</t>
    </r>
    <r>
      <rPr>
        <sz val="10"/>
        <rFont val="Arial"/>
        <family val="2"/>
      </rPr>
      <t/>
    </r>
  </si>
  <si>
    <r>
      <t xml:space="preserve">23-10-2017: See item 82 </t>
    </r>
    <r>
      <rPr>
        <sz val="10"/>
        <color theme="1"/>
        <rFont val="Arial"/>
        <family val="2"/>
      </rPr>
      <t>P_DR's to be replanned
[13-Sep] Kiz; No further activities until #82 is approved. Please change SOP=SOD=tbd</t>
    </r>
    <r>
      <rPr>
        <sz val="10"/>
        <rFont val="Arial"/>
        <family val="2"/>
      </rPr>
      <t/>
    </r>
  </si>
  <si>
    <r>
      <t>23-10-2017 Adri: Realistic SOP B Feb 2018 (Info W. Janssen); After SOP identify/cut-off-batch and inform QMC and SlpP
19-10-2017 Adri: Expected start of mass production approx B Dec due to tech issues
[10-Oct] Adri: SOP after machine is improved by supplier and approved by QMM3,</t>
    </r>
    <r>
      <rPr>
        <sz val="10"/>
        <rFont val="Arial"/>
        <family val="2"/>
      </rPr>
      <t xml:space="preserve"> Rudie to take care for identification of cut-off batch and inform Koji/Martin, Adri wil inform him about this</t>
    </r>
    <r>
      <rPr>
        <sz val="10"/>
        <color theme="1"/>
        <rFont val="Arial"/>
        <family val="2"/>
      </rPr>
      <t xml:space="preserve"> </t>
    </r>
    <r>
      <rPr>
        <sz val="10"/>
        <rFont val="Arial"/>
        <family val="2"/>
      </rPr>
      <t/>
    </r>
  </si>
  <si>
    <t>On time</t>
  </si>
  <si>
    <t>n</t>
  </si>
  <si>
    <t>Aperam: 100% Plate/Pipe inspection</t>
  </si>
  <si>
    <t>Aperam: Sort out irregularity on pipe</t>
  </si>
  <si>
    <t>Aperam: Longer annealing time</t>
  </si>
  <si>
    <t>21-11-2017: Adri: On hold acc statement Masumitsu, awaiting availability PL Mid 2019 (Previous SOP plan was  12-Mar-'18)
11/1/2017 Bas: To be postponed; planning on-going
23-10-2017 Adri: NPC submitted to Kimura-san 18th Oct, Update needed? When NPC S to Jatco planned?
[10-Oct] Adri: SOP/SOD added; Presentation material  already sent to RBJP, forward to Jatco after internal approval planning phase of ECR, Adri will support to get it on agenda</t>
  </si>
  <si>
    <t>22-11-2017 Bas: Remove P-DR dates from RBJP sheet
23-10-2017: See item 82 P_DR's to be replanned
Adri 23-10-2017: Meeting planned on 23-Oct to discuss w/ Wim/Koji
[10-Oct]; Adri: Ask availibility of masterbelts; see comment 23-Oct
[13-Sep] Kiz; No further activities until #82 is approved. Please change SOP=SOD=tbd
[8-Sep] Kiz; PSW-S 11/1, PSW-A 11/23, SOP 12/31, SOD 1/14 communicated to Jatco for their internal review. Please correct the list. It does not need to be the same as these
[7-Sep] Bas: P-DR#0/1 planned for 20-Sept</t>
  </si>
  <si>
    <t xml:space="preserve">22-11-2017 Bas: Remove P-DR dates from RBJP sheet
23-10-2017: See item 82 P_DR's to be replanned
[13-Sep] Kiz; No further activities until #82 is approved. Please change SOP=SOD=tbd
</t>
  </si>
  <si>
    <t>22-11-2017 Bas: Remove P-DR dates from RBJP sheet
21-11-2017: Adri: On hold acc statement Masumitsu, awaiting availability PL Mid 2019 (Previous SOP plan was  21-May-'18)
11/1/2017 Bas: To be postponed; planning on-going
[1-Sep] Kiz: NPC-R sent from Jatco</t>
  </si>
  <si>
    <r>
      <t xml:space="preserve">22-11-2017 Bas: Remove P-DR dates from RBJP sheet
</t>
    </r>
    <r>
      <rPr>
        <sz val="10"/>
        <rFont val="Arial"/>
        <family val="2"/>
      </rPr>
      <t>21-11-2017: Adri: On hold acc statement Masumitsu, awaiting availability PL Mid 2019 (Previous SOP plan was  19-Jan-'18, previous NPC R was 11-Nov))
11/1/2017 Bas: To be postponed; planning on-going
23-10-2017: Adri, Info Tam/Quan: ISR 27-11 iso 20-11, to be confirmed by mgt meeting on 24-Oct
[16-Oct] Kaneko: P-DR0/1 was passed on 11-Oct</t>
    </r>
    <r>
      <rPr>
        <sz val="10"/>
        <color theme="1"/>
        <rFont val="Arial"/>
        <family val="2"/>
      </rPr>
      <t/>
    </r>
  </si>
  <si>
    <r>
      <t xml:space="preserve">22-11-2017 Bas: </t>
    </r>
    <r>
      <rPr>
        <sz val="10"/>
        <color theme="1"/>
        <rFont val="Arial"/>
        <family val="2"/>
      </rPr>
      <t>Remove P-DR dates from RBJP sheet</t>
    </r>
    <r>
      <rPr>
        <sz val="10"/>
        <rFont val="Arial"/>
        <family val="2"/>
      </rPr>
      <t xml:space="preserve">
21-11-2017: Adri: On hold acc statement Masumitsu, awaiting availability PL Mid 2019 (Previous SOP plan was  12-Mar-'18)
11/1/2017 Bas: To be postponed; planning on-going
</t>
    </r>
    <r>
      <rPr>
        <sz val="10"/>
        <color rgb="FFFF0000"/>
        <rFont val="Arial"/>
        <family val="2"/>
      </rPr>
      <t>[16-Oct] Kaneko: P-DR0/1 was passed on 11-Oct</t>
    </r>
    <r>
      <rPr>
        <sz val="10"/>
        <color theme="1"/>
        <rFont val="Arial"/>
        <family val="2"/>
      </rPr>
      <t/>
    </r>
  </si>
  <si>
    <t>y</t>
  </si>
  <si>
    <t>Unique</t>
  </si>
  <si>
    <r>
      <rPr>
        <sz val="10"/>
        <rFont val="Arial"/>
        <family val="2"/>
      </rPr>
      <t xml:space="preserve">15-11-2017 Kaneko: Due to Aparam issue, P-DR01 shifted to 23-11; P-DR2 shifted to 30-11; </t>
    </r>
    <r>
      <rPr>
        <sz val="10"/>
        <color theme="1"/>
        <rFont val="Arial"/>
        <family val="2"/>
      </rPr>
      <t>Check with Natsume-san new NPC-R date
[7-Nov] Kaneko: Risk review was processed</t>
    </r>
    <r>
      <rPr>
        <sz val="10"/>
        <rFont val="Arial"/>
        <family val="2"/>
      </rPr>
      <t xml:space="preserve">
[31-Oct] Kaneko: Risk review and P-DR dates are already settled, and plan to combine with AL17 in HcP, #465
10/24/2017 Bas: Dai to give update of planning; done updated NPC-R date</t>
    </r>
    <r>
      <rPr>
        <sz val="10"/>
        <color rgb="FFFF0000"/>
        <rFont val="Arial"/>
        <family val="2"/>
      </rPr>
      <t xml:space="preserve">
</t>
    </r>
    <r>
      <rPr>
        <sz val="10"/>
        <color theme="1"/>
        <rFont val="Arial"/>
        <family val="2"/>
      </rPr>
      <t>[23-Oct] Kaneko: Dates of risk review and P-DR0/1 were set up. Please refer to RBJP sheet.
[20-Oct] Kaneko: Jatco requests to modify graph used for change description once again.
[16-Oct] Kaneko: Modification in NPC S was done and waiting Jatco's response if it's now acceptable or not</t>
    </r>
    <r>
      <rPr>
        <sz val="10"/>
        <color rgb="FFFF0000"/>
        <rFont val="Arial"/>
        <family val="2"/>
      </rPr>
      <t xml:space="preserve">
</t>
    </r>
    <r>
      <rPr>
        <sz val="10"/>
        <color theme="1"/>
        <rFont val="Arial"/>
        <family val="2"/>
      </rPr>
      <t xml:space="preserve">[10-Oct] Tak-Minoru: stiill under preparation, expected planning P-DR's from now on
[3-Oct] Tak-Minoru: Kaneko-san is preparing material-update w/ Dai
[19-Sep] Dai proposed DR-dates, to be discussed w/ Natsume-san on 20-Sept </t>
    </r>
  </si>
  <si>
    <t>13-12-2017 Koji: Temporary approval received and P-DR finished
21-11-2017 Adri: Added</t>
  </si>
  <si>
    <t>13-12-2017 Koji: On-hold, NPC submission and P-DR2 done
21-11-2017 Adri: Added</t>
  </si>
  <si>
    <t>13-12-2017 Koji: P-DR35 finished 8-12 and PSW full approval received
21-11-2017 Adri: Added</t>
  </si>
  <si>
    <t>13-12-2017: Removed ISR and PSW S/A dates, to be replanned.
09-11-2017 Adri StC Appl proposed new SOP date from 15-Mar to 15-Sep  to 15-Dec'18, SOD assumed from 30-Apr to 30-Oct to 30 Jan'19
[11-Sep] Adri: Info StC 7-Sep: SOP will delay half year</t>
  </si>
  <si>
    <r>
      <t xml:space="preserve">14-12-2017 Bas: PSW approval received on 14-12, 4 days earlier
13-12-2017 Kaneko: PDR35 closed without homework
06-12-2017 Kimura: PSW submission done on 4-december instead of 28-November
30-11-2017 Adri: Quan today submittedPSW to RBJP
29-11-2017 Quan: PSW S delayed due to S-test result not available; meeting to push held and expected by today
15-11-2017 Kaneko: Jatco accepted postponement due to Aparam; P-DR3/5 shifted from 29-11
</t>
    </r>
    <r>
      <rPr>
        <sz val="10"/>
        <rFont val="Arial"/>
        <family val="2"/>
      </rPr>
      <t>14-11-2017 Adri: ISR done on 9th Nov
01-11-2</t>
    </r>
    <r>
      <rPr>
        <sz val="10"/>
        <color theme="1"/>
        <rFont val="Arial"/>
        <family val="2"/>
      </rPr>
      <t>017 Adri: Quan will align w/ PJM and provide updated planning, PSW S will shift!</t>
    </r>
    <r>
      <rPr>
        <sz val="10"/>
        <rFont val="Arial"/>
        <family val="2"/>
      </rPr>
      <t xml:space="preserve">
11/1/2017 Bas: Still on-going and on-track
13-10-2017, Adri: (Mail Van) SOP from 23-Oct to 3-Nov, SOP from 4-Dec to 18-Dec, SOD from 7-Dec to 21-Dec. </t>
    </r>
    <r>
      <rPr>
        <sz val="10"/>
        <color theme="1"/>
        <rFont val="Arial"/>
        <family val="2"/>
      </rPr>
      <t>Quan to provide proposal for DR-plan</t>
    </r>
    <r>
      <rPr>
        <sz val="10"/>
        <rFont val="Arial"/>
        <family val="2"/>
      </rPr>
      <t xml:space="preserve">
[10-Oct] Quan:</t>
    </r>
    <r>
      <rPr>
        <sz val="10"/>
        <color rgb="FFFF0000"/>
        <rFont val="Arial"/>
        <family val="2"/>
      </rPr>
      <t xml:space="preserve"> </t>
    </r>
    <r>
      <rPr>
        <sz val="10"/>
        <rFont val="Arial"/>
        <family val="2"/>
      </rPr>
      <t>Delay expected due to recent SOP new welding, MFG needs smooth running of this new machine before relocating weld 4, pleas keep all parties posted closely on final decision
[3-Oct] Tam: ISR date still valid</t>
    </r>
  </si>
  <si>
    <r>
      <t>14-12-2017 Bas: PSW approval received on 14-12, 4 days earlier
13-12-2017 Kaneko: PDR35 closed without homework
06-12-2017 Kimura: PSW submission done on 4-december instead of 28-November
30-11-2017 Adri: Quan today submittedPSW to RBJP
29-11-2017 Quan: PSW S delayed due to S-test result not available; meeting to push held and expected by today
15-11-2017 Kaneko: Jatco accepted postponement due to Aparam; P-DR3/5 shifted from 28-11
14-11-2017 Adri: ISR done on 9-Nov
08-11-2017 Adri: Info GSp: ISR planned 9-11 (was 3-11)
01-11-2017 A</t>
    </r>
    <r>
      <rPr>
        <sz val="10"/>
        <color theme="1"/>
        <rFont val="Arial"/>
        <family val="2"/>
      </rPr>
      <t>dri: Quan will align w/ PJM and provide updated planning, PSW S will shift!</t>
    </r>
    <r>
      <rPr>
        <sz val="10"/>
        <rFont val="Arial"/>
        <family val="2"/>
      </rPr>
      <t xml:space="preserve">
11/1/2017 Bas: ISR to be some simultaneous with #421; PSW approval 6-11 still on track
[10-Oct] Adri Double check timing ISR by Quan; Info Tam: Object release planned on 16-Oct (was 23-Oct)</t>
    </r>
  </si>
  <si>
    <t>06-12-2017 Dai: ECR review team agreed to approve planning phase during 24-11 review.
23-11-2017 Dai: Currently no ECR planning approval given by ECR review team
15-11-2017 Kaneko: Due to Aparam issue, P-DR01 shifted to 23-11; P-DR2 shifted to 30-11; Check with Natsume-san new NPC-R date
[7-Nov] Kaneko: Risk review was processed
30-10-2017: added as new item</t>
  </si>
  <si>
    <r>
      <t xml:space="preserve">27-12-2017 Hoa: PSW Approval received on 27-12 instead of 7-1
20-12-2017 Kaneko: Homework was closed; information Kimura that Jatco will issue PSW a within this year.
13-12-2017 Hoa: Jatco will review homework by tomorrow
</t>
    </r>
    <r>
      <rPr>
        <sz val="10"/>
        <rFont val="Arial"/>
        <family val="2"/>
      </rPr>
      <t>06-12-2017: Kimura: Meeting minutes of P-DR#3/5 translated and shared with Hoa. Hoa expects approximately 1 week to finalize HW.
27-11-2017: Adri: tel. info from Hoa: PSW submitted on 24-11
[3-Oct] Tam: ISR done on 28-Jul, check if requirements NPC R fulfilled by Mr. Huy: Confirmed, done target to finalize add requested tests until 26-Oct; PSW S 24.Nov still feasible</t>
    </r>
    <r>
      <rPr>
        <sz val="10"/>
        <color theme="1"/>
        <rFont val="Arial"/>
        <family val="2"/>
      </rPr>
      <t/>
    </r>
  </si>
  <si>
    <t>Row Labels</t>
  </si>
  <si>
    <t>Grand Total</t>
  </si>
  <si>
    <t>Count of Y/N</t>
  </si>
  <si>
    <t>(All)</t>
  </si>
  <si>
    <t>Column Labels</t>
  </si>
  <si>
    <r>
      <t>10-01-2018 Bas: Due to SLB Hot topics, timing of ISR uncertain. PMe will inform beginning next week of plan when all SLB proto production is known
13-12-2017 Bas:</t>
    </r>
    <r>
      <rPr>
        <sz val="10"/>
        <color rgb="FFFF0000"/>
        <rFont val="Arial"/>
        <family val="2"/>
      </rPr>
      <t xml:space="preserve"> Update timing based on new plan; Please inform also SlpP</t>
    </r>
    <r>
      <rPr>
        <sz val="10"/>
        <color theme="1"/>
        <rFont val="Arial"/>
        <family val="2"/>
      </rPr>
      <t xml:space="preserve">
29-11-2017 Adri: Info Luis/Martin 28-Nov: customer notified 28-Nov, customer agreed to send NPC
08-11-2017 Bas: Discuss with Martin JMEX release strategy
[28-Sep] Bas: NPC Received; original date 22-Sep</t>
    </r>
  </si>
  <si>
    <t>Aperam: 100% check of blocked belts</t>
  </si>
  <si>
    <r>
      <t>17-01-2018 Martin: PSW approval received on 17-Januari
17-01-2018 PeterH: Meeting to be set-up between Bosch, Jatco and Nissan to discuss the additional question from Nissan regarding PCP.
10-01-2018 Bas: Info from JMEX: due to unknown reason, Nissan is delaying approval. Director @JMex is aware of situation and working on it
03-01-2018: Adri: (Humberto) No reply from JMex yet</t>
    </r>
    <r>
      <rPr>
        <sz val="10"/>
        <color rgb="FFFF0000"/>
        <rFont val="Arial"/>
        <family val="2"/>
      </rPr>
      <t xml:space="preserve">
</t>
    </r>
    <r>
      <rPr>
        <sz val="10"/>
        <color theme="1"/>
        <rFont val="Arial"/>
        <family val="2"/>
      </rPr>
      <t>13-12-2017: Adri: No reply from JMex yet, Guillermo will again send mail to Diego to emphasize urgency
06-12-2017 Kaneko: Different HW material was used by Jatco to Noyama-san. PSW from JMEX can be approved, only JMEX internal questions to be finalized, PSW expected 8-Dec-17
29-11-2017 Adri: Info Martin/Luis 28-Nov: PSW A expected on 1-Dec
23-11-2017 Martin: Homework submitted; next Friday meeting with Diego where PSW A will be discussed
22-11-2017 Kaneko: Homework translation received; to be send to Jatco by today
15-11-2017 Bas to check with Martin what is the status of the homework translation
08-11-2017 Martin: Depending on open items from audit PSW A expected last week of November; changed from 30-10 to 17-11
11/1/2017 Bas: one homework still missing; confirm with Guillermo status; submitted on 08-11-2017 waiting for feedback</t>
    </r>
    <r>
      <rPr>
        <sz val="10"/>
        <rFont val="Arial"/>
        <family val="2"/>
      </rPr>
      <t xml:space="preserve">
10/24/2017 Bas: What is PSW Approval date with audit nov-10</t>
    </r>
    <r>
      <rPr>
        <sz val="10"/>
        <color rgb="FFFF0000"/>
        <rFont val="Arial"/>
        <family val="2"/>
      </rPr>
      <t xml:space="preserve">?
</t>
    </r>
    <r>
      <rPr>
        <sz val="10"/>
        <rFont val="Arial"/>
        <family val="2"/>
      </rPr>
      <t>[20-Oct] Kaneko: Customer approval from NISSAN mexico seems needed for this item. change request to customer needs to be done 3 months before SOP date. 
19-10-2017: Martin: Audit in SlpP planned Nov-10; HW from PDR35 open, To be answered by 20-Oct by Martin after explanation of questions by Kaneko-san,  Ask Kaneko-san when approval of homework and PSW A can be expected, R: Guillermo
[19-Oct] P-DR3/5 was hold, and a few HWs need to be done for closing this P-DR3/5.</t>
    </r>
    <r>
      <rPr>
        <sz val="10"/>
        <color theme="1"/>
        <rFont val="Arial"/>
        <family val="2"/>
      </rPr>
      <t xml:space="preserve">
[16-Oct] Kaneko: Martin to send updated concern list to RBJP by 17-Oct. P-DR3/5 is scheduled on 18-Oct
[11-Oct] Martin: draft was sent to Kaneko-san, some files to be converted to pdf format, send to kaneko-san by latest 12th </t>
    </r>
    <r>
      <rPr>
        <sz val="10"/>
        <rFont val="Arial"/>
        <family val="2"/>
      </rPr>
      <t>Oct, PSW prearation material to be sent on 13th Oct</t>
    </r>
    <r>
      <rPr>
        <sz val="10"/>
        <color theme="1"/>
        <rFont val="Arial"/>
        <family val="2"/>
      </rPr>
      <t xml:space="preserve">
[10-Oct] Adri: </t>
    </r>
    <r>
      <rPr>
        <sz val="10"/>
        <rFont val="Arial"/>
        <family val="2"/>
      </rPr>
      <t xml:space="preserve">Concern list to be updated as requested by Kaneko-san, R: Martin;  Please keep Dai fully informed, so that he can aswer questions from Jatco in pre-P-DR#3/5 on 13th. 
Guillermo is supporting Martin to finalize PSW S according plan this week; </t>
    </r>
    <r>
      <rPr>
        <sz val="10"/>
        <color theme="1"/>
        <rFont val="Arial"/>
        <family val="2"/>
      </rPr>
      <t xml:space="preserve">
[6-Oct] Concern list sent 6-Oct; </t>
    </r>
    <r>
      <rPr>
        <sz val="10"/>
        <rFont val="Arial"/>
        <family val="2"/>
      </rPr>
      <t>Can Dai attend Pre P-DR#3/5?</t>
    </r>
    <r>
      <rPr>
        <sz val="10"/>
        <color theme="1"/>
        <rFont val="Arial"/>
        <family val="2"/>
      </rPr>
      <t xml:space="preserve">
[6-Oct] Adri: Pre P-DR#3/5 postponed to 13-Oct; Martin Prepare concern list until 11-Oct,</t>
    </r>
    <r>
      <rPr>
        <sz val="10"/>
        <color rgb="FFFF0000"/>
        <rFont val="Arial"/>
        <family val="2"/>
      </rPr>
      <t xml:space="preserve"> </t>
    </r>
    <r>
      <rPr>
        <sz val="10"/>
        <rFont val="Arial"/>
        <family val="2"/>
      </rPr>
      <t>PSW prepare and submit to Koji until 11-Oct, PSW S to Jatco 13-Oct</t>
    </r>
    <r>
      <rPr>
        <sz val="10"/>
        <color theme="1"/>
        <rFont val="Arial"/>
        <family val="2"/>
      </rPr>
      <t xml:space="preserve">
[6-Oct] Adri: Explained Tak-Minoru that material from SlpP will not be available in time, requested to consult Jatco in order to postpone pre-DR3/5; contact Martin today to ask for updated planning
[3-Oct] Peter: Belts delivered on Fri 29th, </t>
    </r>
    <r>
      <rPr>
        <sz val="10"/>
        <rFont val="Arial"/>
        <family val="2"/>
      </rPr>
      <t>PSW S delayed to Fri 6-Oct, material not yet ready. Ask Guillermo for support. Adri Preliminary material (Tak-Minoru: concern list to be submitted latest 10-Oct)</t>
    </r>
    <r>
      <rPr>
        <sz val="10"/>
        <color theme="1"/>
        <rFont val="Arial"/>
        <family val="2"/>
      </rPr>
      <t xml:space="preserve">
</t>
    </r>
    <r>
      <rPr>
        <sz val="10"/>
        <color rgb="FFFF0000"/>
        <rFont val="Arial"/>
        <family val="2"/>
      </rPr>
      <t/>
    </r>
  </si>
  <si>
    <r>
      <rPr>
        <sz val="10"/>
        <color theme="1"/>
        <rFont val="Arial"/>
        <family val="2"/>
      </rPr>
      <t>18-01-2018 Bas: See release #342 for updates regarding JMEX release of SlpP
10-01-2018: Adri: Info from Luis ISR plan from 19 to 27-Jan if element ckd available (LS</t>
    </r>
    <r>
      <rPr>
        <sz val="10"/>
        <rFont val="Arial"/>
        <family val="2"/>
      </rPr>
      <t xml:space="preserve"> (available)
05-01-2018: Adri: (Amalia) ISR planned in cw3/4, ISR date changed from 12-1 into 19-1, LS will be sent cw1
27-12-2017 Bas: Confirm timing of ISR SlpP
20-12-2017 Martin: ISR will be combined with #342. Check with Martijn which release has priority; #340 or #116
20-12-2017 Quan: SOP not yet done. 
14-12-2017 Bas: PSW approval received on-time on planned date
13-12-2017 Kaneko: information from Natsume-san that PSW will be issued by today.
13-12-2017: Adri: Info  Long (HcP/MFI1): Postpone ISR in SlpP until the problem in EL7 Washing machine is fully fixed
06-12-2017 Kaneko: HW for PDR35 to be reported 7-12-2017
29-11-2017: Adri, info Luis/Martin: Dealy ISR due to Aperam (Lack of Loop sets 089 and no time available in the line and c</t>
    </r>
    <r>
      <rPr>
        <sz val="10"/>
        <color theme="1"/>
        <rFont val="Arial"/>
        <family val="2"/>
      </rPr>
      <t>ustoms-issues ISR sample deliveries) from 6-Dec to 19-Jan, resulting in delay PSW A JMex fromMid Jan to Mid March; Adri to check consequences w/ HcP</t>
    </r>
    <r>
      <rPr>
        <sz val="10"/>
        <rFont val="Arial"/>
        <family val="2"/>
      </rPr>
      <t xml:space="preserve">
29-11-2017 Kaneko: Homework for P-DR35 submitted on 29-11 
22-11-2017 Kaneko: P/DR35 held on 22-11 concern list completed for 70% small Hw which can be answered by follow up next Monday
20-11-2017 Bas: Removed Internal SOP 20-11; during HcP Project review meeting it was stated SOP is 15-Dec
15-11-2017 Quan: PSW S feasible except for wear measurement results of the pulleys of the SDC test. 
</t>
    </r>
    <r>
      <rPr>
        <sz val="10"/>
        <color theme="1"/>
        <rFont val="Arial"/>
        <family val="2"/>
      </rPr>
      <t xml:space="preserve">10-11-2017 Adri: NPC R Jmex received on 9-Nov
09-11-2017: SlpP-ISR shifted from 24-11 to 6-12 due to HcP mix-up issues standard/filling elements in ISR-mix </t>
    </r>
    <r>
      <rPr>
        <sz val="10"/>
        <rFont val="Arial"/>
        <family val="2"/>
      </rPr>
      <t xml:space="preserve">
08-11-2017 Martin: NPC reply delayed, discussed with Diego that we will receive it tomorrow
10/23/2017 Bas: JMEX PSW approval expected by 19-Jan, to assess impact on production planning. In case of conflict, implement activity to speed up release.
Proposal to make critical release
[11-Oct] Adri: Info Quan: ISR shift from 16 to 26-Oct due to internal planning HcP: PSW S target date 17-Nov will be kept
[10-Oct] NPC R received 5-Oct; Tam: ISR postponed to 26-Oct, Quan will confirm by mail if PSW S date is also influenced, check reason for this change
[3-Oct] Tak-Minoru: Homework accepted, P-DR2 can be passed, NPC reply to be expected on short notice; done</t>
    </r>
  </si>
  <si>
    <t>27-12-2017 Koji: PDR01 passed 25-Dec; PDR2 passed 26-Dec; PDR35 planned 12-Jan; Update RBJP sheet accordingly
13-12-2017 Koji: Multiple releases in stead of a single one. Tsujimoto-san to clarify which releases needed
21-11-2017 Adri: Added</t>
  </si>
  <si>
    <t>LL09CD</t>
  </si>
  <si>
    <t>30-01-2018: Adri: New item added</t>
  </si>
  <si>
    <t xml:space="preserve">LL6 release for GU-Light </t>
  </si>
  <si>
    <t>LL9 Release for GU 089</t>
  </si>
  <si>
    <t>LL9 Release for GU-Light 078 094</t>
  </si>
  <si>
    <r>
      <t xml:space="preserve">31-01-2018 Kaneko: P-DR35 set to 17-5 after updated schedule
</t>
    </r>
    <r>
      <rPr>
        <sz val="10"/>
        <rFont val="Arial"/>
        <family val="2"/>
      </rPr>
      <t>30-01-2018: Adri: updated PSW S/A (was 2-Feb/2-Mar) and SOP/Dispatch/Arrival @ customer (was 21-Mar/2-Apr/6-Apr) )acc approval worst case proposal in StC R 25-Jan</t>
    </r>
    <r>
      <rPr>
        <sz val="10"/>
        <color rgb="FFFF0000"/>
        <rFont val="Arial"/>
        <family val="2"/>
      </rPr>
      <t xml:space="preserve">
</t>
    </r>
    <r>
      <rPr>
        <sz val="10"/>
        <rFont val="Arial"/>
        <family val="2"/>
      </rPr>
      <t>29-01-2018 Kaneko: P-DR3/5 postponed to 5/17 due to ISR failure. New milestone was given already please update MFC sheet accordingly (done)</t>
    </r>
    <r>
      <rPr>
        <sz val="10"/>
        <color theme="1"/>
        <rFont val="Arial"/>
        <family val="2"/>
      </rPr>
      <t xml:space="preserve">
18-01-2018 Bas: Approval for SOP shift will be obtained in StC Releases of 25-Jan
17-01-2018 Dai: ISR needs to be re-run, difficulties with EIN test. New schedule proposed by Sato, Dai to supply whether best or worst case planning to be communicated to Jatco. After alignment, QMCJP can ask Jatco to postpone P-DR3/5
05-01-2018: Adri: Dispatch from HcP from 26-Mar to 2-Apr
13-12-2017 Kaneko: Informed new dates to Jatco, waiting for P-DR35 invitation from Natsume
06-12-2017 Dai: Update of dates needed due to test capacity for Aperam; Dai to supply dates
01-12-2017 Adri: Request from Sato to Dai to postpone due dates: PSW S from 31-12 to B-Feb, PSW A from 31-Jan to E-Feb, RB-SOP from 1-Mar to M-Mar, dispatch from Bosch E-Mar
09-11-2017 Adri: Info Sato: PSW submission will be delayed to B.Jan; New due date to be provided by Dai
08-11-2017 Adri: ISR done w/ limited amount of belts on 2-Nov
02-11-2017 Adri: ISR delayed from 31-Oct to 2-NOv due to shortage Loopsets caused by Aperam-issue
[10-Oct] Adri: ISR Oct confirmed by Sato-san</t>
    </r>
  </si>
  <si>
    <r>
      <t>31-01-2018 Quan:</t>
    </r>
    <r>
      <rPr>
        <sz val="10"/>
        <color rgb="FFFF0000"/>
        <rFont val="Arial"/>
        <family val="2"/>
      </rPr>
      <t xml:space="preserve"> Share planning</t>
    </r>
    <r>
      <rPr>
        <sz val="10"/>
        <color theme="1"/>
        <rFont val="Arial"/>
        <family val="2"/>
      </rPr>
      <t xml:space="preserve">
</t>
    </r>
    <r>
      <rPr>
        <sz val="10"/>
        <rFont val="Arial"/>
        <family val="2"/>
      </rPr>
      <t>30-01-2018: Adri: SOP from 15 to 1-Oct, only track CD</t>
    </r>
    <r>
      <rPr>
        <sz val="10"/>
        <color rgb="FFFF0000"/>
        <rFont val="Arial"/>
        <family val="2"/>
      </rPr>
      <t xml:space="preserve">
</t>
    </r>
    <r>
      <rPr>
        <sz val="10"/>
        <rFont val="Arial"/>
        <family val="2"/>
      </rPr>
      <t>13-12-2017: Adri: Add an additional line to do coventional release. Adri to prepare one-pager to explain strategy to QMC team</t>
    </r>
    <r>
      <rPr>
        <sz val="10"/>
        <color theme="1"/>
        <rFont val="Arial"/>
        <family val="2"/>
      </rPr>
      <t xml:space="preserve">
13-12-2017: Adri: Actual plan is to stick to release of LC (no switch LC for 078 on short notice, to be confirmed in StC Jan'18)
09-11-2017 Adri: SOP/SOD updated acc StC MG27-Jul from 1-Oct-1/Nov to 15-Oct/17-Dec
[27-Jun] StC MG 22-Jun: SOP 2 track GU/GU-light + Oct'18, 4 tracks GU light+ Dec'18; NOt yet in scope of this meeting due to postponement from Mar'18 to Oct'18
[13-Jun] New planning from PGL: 2 tracks GU, SOP March-18, 4 tracks GU-light, SOP Oct-18. </t>
    </r>
    <r>
      <rPr>
        <sz val="10"/>
        <rFont val="Arial"/>
        <family val="2"/>
      </rPr>
      <t>New item to be added in overview for flex-line (GU-light-part), due cw26 after confirmation PGL</t>
    </r>
  </si>
  <si>
    <t>31-01-2018: Adri: New item added</t>
  </si>
  <si>
    <t>093*</t>
  </si>
  <si>
    <t>24/9</t>
  </si>
  <si>
    <t>Non-Gaa belt</t>
  </si>
  <si>
    <t>EL08</t>
  </si>
  <si>
    <t>AL19</t>
  </si>
  <si>
    <t>LL13</t>
  </si>
  <si>
    <t>New EL 8, 4XFT, 1OQ, 4DB, 1mix+eolWash</t>
  </si>
  <si>
    <t>New AL18 HcP</t>
  </si>
  <si>
    <t>New AL19 HcP</t>
  </si>
  <si>
    <t>New GU LL13, incl PL07</t>
  </si>
  <si>
    <t>AVO GUL incl EL CKD from HcP and TbP</t>
  </si>
  <si>
    <t>SLB</t>
  </si>
  <si>
    <t>ALS1</t>
  </si>
  <si>
    <t>New ALS for SLB TbP</t>
  </si>
  <si>
    <t>Release LL12 for SLB TbP</t>
  </si>
  <si>
    <t>Release EL for SLB TbP</t>
  </si>
  <si>
    <t>LL6 release for AVO</t>
  </si>
  <si>
    <t>08-02-2018: Adri: Decided w/ MSE2 to cancel release for Non-Honda customers
[20-Sep] Adri: Replacement postponed from Jan to Aug-'18, tbd until Dec'17 if/when to be released for Jatco 
[12-Sep] Kiz; which belt type is produced at LL1A? Currently only Honda</t>
  </si>
  <si>
    <t>08-02-2018: Adri: Decided w/ MSE2 to cancel release for Non-Honda customers
[20-Sep] Adri: Replacement postponed from Jan to Aug-'18, tbd until Dec'17 if/when to be released for Jatco 
[12-Sep] Kiz; which belt type is produced at LL1B? Currently only Honda</t>
  </si>
  <si>
    <t>Takahashi</t>
  </si>
  <si>
    <r>
      <t xml:space="preserve">21-02-2018 Bas: </t>
    </r>
    <r>
      <rPr>
        <sz val="10"/>
        <color rgb="FFFF0000"/>
        <rFont val="Arial"/>
        <family val="2"/>
      </rPr>
      <t>Confirm with Guillermo next steps</t>
    </r>
    <r>
      <rPr>
        <sz val="10"/>
        <color theme="1"/>
        <rFont val="Arial"/>
        <family val="2"/>
      </rPr>
      <t xml:space="preserve">
06-02-2018 Bas: Back on the list; QMC-JP to discuss P-DR35 date with Jatco
22-11-2017 Adri: Bas to contact ECR owner; Kaneko to update RBJP sheet
20-11-2017 Bas: Proposal to be put on tbd until Aparam issue is solved
10/24/2017 Bas: Give an update for P-DR3/5 date due |: 28-Oct
[16-Oct] Kaneko: NPC-R was given on 11-Oct. Please set up new P-DR3/5, which is already in delay
[10-Oct] NPC R to be confirmed by QMC13 by 11-Oct
[4-Oct] Kaneko: P-DR2 passed, please set-up new P-DR3/5, which is already in delay
[26-Sep] Bas: P-DR2 scheduled on 4-Oct; NPC Reply expected 1 week later; Bas to update timing;Done</t>
    </r>
  </si>
  <si>
    <t>21-02-2018: Adri: HcP release overview confirmed as on hold
[08-Mar]   on hold still</t>
  </si>
  <si>
    <t>Luis</t>
  </si>
  <si>
    <r>
      <t xml:space="preserve">21-02-2018:Adri (info Trang) Samples shipped on 22-Feb. </t>
    </r>
    <r>
      <rPr>
        <sz val="10"/>
        <color rgb="FFFF0000"/>
        <rFont val="Arial"/>
        <family val="2"/>
      </rPr>
      <t>Schedule ISR etc to be updated</t>
    </r>
    <r>
      <rPr>
        <sz val="10"/>
        <color theme="1"/>
        <rFont val="Arial"/>
        <family val="2"/>
      </rPr>
      <t xml:space="preserve">
14-02-2018: Luis: Delay sample material from HcP due to SAP-issue,</t>
    </r>
    <r>
      <rPr>
        <sz val="10"/>
        <rFont val="Arial"/>
        <family val="2"/>
      </rPr>
      <t xml:space="preserve"> waiting for arrival expected March-8, ISR replan to Mid March (cw11). Update after confirmation HcP-LOG (Trang)</t>
    </r>
    <r>
      <rPr>
        <sz val="10"/>
        <color theme="1"/>
        <rFont val="Arial"/>
        <family val="2"/>
      </rPr>
      <t xml:space="preserve">
08-02-2018: Adri, info Luis 7-Feb: ISR from 19 to 23-Feb, PSW S from 13 to 19-Mar, PSW A from 20 to 27-Apr
28-01-2018: Updated info,, see mail Long 24-Jan: ISR from 27-1 too 19-Feb, PSW S 13-Mar,, PSW A JMex from 19-Mar to 20-Apr
21-01-2018: Adri, info from Long mail 18-Jan: expected arrival CKD elements 26 Jant @SlpP
18-01-2018 Bas: Release #342 and #340 for JMEX will become critical April; contact HcP to speed up
17-01-2018 Luis: No material available for ISR, information from Mr. Long is that problem at EOL washer is still not fixed (material needs to be in plant 15 days before), Check with LOG when willl #342 and #340 release @ SlpP become critical
10-01-2018: Adri: Info from Luis ISR plan from 19 to 27-Jan if element ckd available (LS (available)
05-01-2018: Adri: (Amalia) ISR planned in cw3/4, ISR date changed from 12-1 into 19-1, LS will be sent cw1
27-12-2017 Bas: Confirm timing of ISR in SlpP
</t>
    </r>
    <r>
      <rPr>
        <sz val="10"/>
        <rFont val="Arial"/>
        <family val="2"/>
      </rPr>
      <t>13-12-2017 Adri: Checked risk of delay to SOP from Mid March w/ Long (HcP/MFI1): Acceptable, no CKD 2810 planned for 2018.
29-11-2017: Adri, info Luis/Martin: Dealy ISR due to Aperam (Lack of Loop sets 089 and no time available in the line and customs-issues ISR sample deliveries) from 6-Dec to 19-Jan, resulting in delay PSW A JMex fromMid Jan to Mid March; Adri to check consequences w/ HcP
10-11-2017 Adri: NPC R Jmex received on 9-Nov</t>
    </r>
    <r>
      <rPr>
        <sz val="10"/>
        <color rgb="FFFF0000"/>
        <rFont val="Arial"/>
        <family val="2"/>
      </rPr>
      <t xml:space="preserve">
</t>
    </r>
    <r>
      <rPr>
        <sz val="10"/>
        <color theme="1"/>
        <rFont val="Arial"/>
        <family val="2"/>
      </rPr>
      <t>09-11-2017: SlpP-ISR shifted from 24-11 to 6-12 due to HcP mix-up issues standard/filling elements in ISR-mix 
08-11-2017 Bas to add link to planning schedule JMEX with #340
[11-Oct] Adri: PSW A received; JMex still to be informed
[10-Oct] Tak-Minoru still awaiting PSW A
[6-Oct] Adri/Quan: homework approved, awaiting formal PSW A</t>
    </r>
    <r>
      <rPr>
        <sz val="10"/>
        <color rgb="FFFF0000"/>
        <rFont val="Arial"/>
        <family val="2"/>
      </rPr>
      <t/>
    </r>
  </si>
  <si>
    <t>AL17ﾍﾞﾄﾅﾑ新規導入</t>
  </si>
  <si>
    <r>
      <t xml:space="preserve">PL </t>
    </r>
    <r>
      <rPr>
        <sz val="9"/>
        <rFont val="ＭＳ Ｐゴシック"/>
        <family val="3"/>
        <charset val="128"/>
      </rPr>
      <t>溶接機</t>
    </r>
    <r>
      <rPr>
        <sz val="9"/>
        <color rgb="FFFF0000"/>
        <rFont val="ＭＳ Ｐゴシック"/>
        <family val="3"/>
        <charset val="128"/>
      </rPr>
      <t>２</t>
    </r>
    <r>
      <rPr>
        <sz val="9"/>
        <rFont val="ＭＳ Ｐゴシック"/>
        <family val="3"/>
        <charset val="128"/>
      </rPr>
      <t>号機の移動</t>
    </r>
    <r>
      <rPr>
        <sz val="9"/>
        <rFont val="Arial"/>
        <family val="2"/>
      </rPr>
      <t xml:space="preserve"> PL3 </t>
    </r>
    <r>
      <rPr>
        <sz val="9"/>
        <rFont val="ＭＳ Ｐゴシック"/>
        <family val="3"/>
        <charset val="128"/>
      </rPr>
      <t>から</t>
    </r>
    <r>
      <rPr>
        <sz val="9"/>
        <rFont val="Arial"/>
        <family val="2"/>
      </rPr>
      <t>PL4</t>
    </r>
    <r>
      <rPr>
        <sz val="9"/>
        <color rgb="FFFF0000"/>
        <rFont val="Arial"/>
        <family val="2"/>
      </rPr>
      <t>(</t>
    </r>
    <r>
      <rPr>
        <sz val="9"/>
        <color rgb="FFFF0000"/>
        <rFont val="ＭＳ Ｐゴシック"/>
        <family val="3"/>
        <charset val="128"/>
      </rPr>
      <t>ﾊﾟｲﾌﾟﾗｲﾝ最終)</t>
    </r>
  </si>
  <si>
    <t>PL 溶接機3号機をPL4に移動</t>
  </si>
  <si>
    <t>Aperam: 100% プレート/パイプ検査</t>
  </si>
  <si>
    <t>Aperam: 100% ベルト検査</t>
  </si>
  <si>
    <t>Aperam: 焼鈍時間延長</t>
  </si>
  <si>
    <t>Aperam: NOK パイプ選別</t>
  </si>
  <si>
    <t>AL18ﾍﾞﾄﾅﾑ新規導入</t>
  </si>
  <si>
    <t>AL19ﾍﾞﾄﾅﾑ新規導入</t>
  </si>
  <si>
    <t>EL8ﾍﾞﾄﾅﾑ新規導入</t>
  </si>
  <si>
    <t>LL6ベトナム AVO(094) 追加</t>
  </si>
  <si>
    <t xml:space="preserve">AVO GU lite メキシコ組み立て(HcP→SlpP EL CKD含) </t>
  </si>
  <si>
    <t>LL6ベトナム GU-Light (078) 追加</t>
  </si>
  <si>
    <t>LL9ベトナム GU-Light (078,094) 追加</t>
  </si>
  <si>
    <t>LL6ベトナム用バックアップ炉(GU light)</t>
  </si>
  <si>
    <t xml:space="preserve">Non-Gaa belt 採用 </t>
  </si>
  <si>
    <t>LL13GU ﾍﾞﾄﾅﾑ新規導入(PL7含)</t>
  </si>
  <si>
    <t>SLB用新ALオランダ 追加</t>
  </si>
  <si>
    <t>LL12オランダSLB 追加</t>
  </si>
  <si>
    <t>SLB用新ELオランダ 追加</t>
  </si>
  <si>
    <t>26-02-2018: Adri: Changed LL06AB into LL06, line will be released for all 4 tracks
02-02-2018: Adri: New item added as discussed in GUL rampupp meeting w/ Jatco</t>
  </si>
  <si>
    <r>
      <t>21-02-2018: Bas: AFB 28/10 project to be can</t>
    </r>
    <r>
      <rPr>
        <strike/>
        <sz val="10"/>
        <rFont val="Arial"/>
        <family val="2"/>
      </rPr>
      <t xml:space="preserve">celed; after </t>
    </r>
    <r>
      <rPr>
        <strike/>
        <sz val="10"/>
        <color rgb="FFFF0000"/>
        <rFont val="Arial"/>
        <family val="2"/>
      </rPr>
      <t>J-B StC it can be informed towards Jatco MQX to cancel P-DR</t>
    </r>
    <r>
      <rPr>
        <strike/>
        <sz val="10"/>
        <color theme="1"/>
        <rFont val="Arial"/>
        <family val="2"/>
      </rPr>
      <t xml:space="preserve">
14-02-2018: Adri: P-DR planning was updated, see table
27-12-2017 Izumi: PDR0 30-Jan; PDR1 14-Feb; PDR2 14-Mar
20-12-2017 Kaneko: PDR01 date received from Jatco; Update RBJP sheet accordingly
13-12-2017: Removed ISR and PSW S/A dates, to be replanned.
22-11-2017 Adri: Update P-DR dates
09-11-2017 Adri StC Appl proposed new SOP date from 15-Mar to 15-Sep  to 15-Dec'18, SOD assumed from 30-Apr to 30-Oct to 30 Jan'19
[26-Sep] Bas: Confirm updated timing with Viktor; More clarity expected B-Dec
[11-Sep] Adri: Info StC 7-Sep: SOP will delay half year</t>
    </r>
  </si>
  <si>
    <t>26-02-2018: Project stop due to stop AFB-project
31-01-2018: Adri: New item added</t>
  </si>
  <si>
    <t>TBD</t>
  </si>
  <si>
    <t>28-02-2018: New item added</t>
  </si>
  <si>
    <t>Release 2810GU Dubai</t>
  </si>
  <si>
    <r>
      <t>28-02-2018: sample measurements still pending @ TbP, expected ready 1-Mar, next submit samples to JMex 5-Mar, 2 weeks validation until 19-Mar, Expected PSW A E Mar
22-02-2018: Adri, info Long ISR from 23-Feb to 15-Mar, PSW S from 19-Mar to 9-Apr, PSW R from 27-Apr to 9-May
15-02-2018: Adri/Luis ISR was done on 31-Jan
10-01-2018: Adri: Info from Luis: ISR shifted from 19 to 20-Jan, ckd's are availalble
05-01-2018: Adri: (Amalia) ISR planned in cw3/4, ISR date changed from 12-1 into 19-1, LS will be sent cw1
13-12-2017: Adri: Request from Luis to check w/ LOG planning for availability of LS, R: Adri
13-12-2017 Adri: Checked risk of delay to SOP from Mid March w/ Long (HcP/MFI1): Acceptable, no CKD 2810 planned for 2018 
29-11-2017: Adri: Info Luis/Martin: ISR to be postponed from 24-Nov to Jan due to Aperam (Lack of Loop sets 089 and no time available in the line);</t>
    </r>
    <r>
      <rPr>
        <sz val="10"/>
        <color rgb="FFFF0000"/>
        <rFont val="Arial"/>
        <family val="2"/>
      </rPr>
      <t xml:space="preserve"> </t>
    </r>
    <r>
      <rPr>
        <sz val="10"/>
        <rFont val="Arial"/>
        <family val="2"/>
      </rPr>
      <t>Adri to check consequences for HcP</t>
    </r>
    <r>
      <rPr>
        <sz val="10"/>
        <color theme="1"/>
        <rFont val="Arial"/>
        <family val="2"/>
      </rPr>
      <t xml:space="preserve">
22-11-2017 Martin: Due to material availability ISR postponed
09-11-2017 Adri: SlpP ISR on 24-Nov acc mail Luis
[1-Aug] SOD 4 days later then planned
</t>
    </r>
    <r>
      <rPr>
        <sz val="10"/>
        <rFont val="Arial"/>
        <family val="2"/>
      </rPr>
      <t>[19-Jul] Full PSW Approval received
[17-Jul] Kimura: PSW A need to be received by 7/18 for JGZ SOD on 7/20
Clarify open items with Dai-san for PSW A</t>
    </r>
    <r>
      <rPr>
        <sz val="10"/>
        <color theme="1"/>
        <rFont val="Arial"/>
        <family val="2"/>
      </rPr>
      <t xml:space="preserve">
[11-Jul] EIN test to be executed; best case end of next week; Internal risk assessment on SOP with later Full PSW approval when EIN results available. No need as test results available on time
Koji to push ETP to have EIN results available earlier. Done: Test results available latest Tuesday 18 Jul
[10-Jul]: Noise test to be reported in order to get PSW A approval from Jatco</t>
    </r>
    <r>
      <rPr>
        <sz val="10"/>
        <color rgb="FFFF0000"/>
        <rFont val="Arial"/>
        <family val="2"/>
      </rPr>
      <t xml:space="preserve">
</t>
    </r>
    <r>
      <rPr>
        <sz val="10"/>
        <rFont val="Arial"/>
        <family val="2"/>
      </rPr>
      <t>[4-Jul]: Kim: Jatco is preparing final PSW A approval now included mixed CDW/Nippon, expected until end cw27. co nfrim w/ Ta-J today</t>
    </r>
    <r>
      <rPr>
        <sz val="10"/>
        <color theme="1"/>
        <rFont val="Arial"/>
        <family val="2"/>
      </rPr>
      <t xml:space="preserve">
[16-May]</t>
    </r>
    <r>
      <rPr>
        <sz val="10"/>
        <rFont val="Arial"/>
        <family val="2"/>
      </rPr>
      <t xml:space="preserve"> Conditional (No mixing CDW/Nippon allowed) approval. Testin</t>
    </r>
    <r>
      <rPr>
        <sz val="10"/>
        <color theme="1"/>
        <rFont val="Arial"/>
        <family val="2"/>
      </rPr>
      <t>g ongoing until Mid June to remove this condition; Koji will update planning</t>
    </r>
  </si>
  <si>
    <t>Jeroen</t>
  </si>
  <si>
    <r>
      <t xml:space="preserve">28-02-2018: </t>
    </r>
    <r>
      <rPr>
        <sz val="10"/>
        <color rgb="FFFF0000"/>
        <rFont val="Arial"/>
        <family val="2"/>
      </rPr>
      <t>Guillermo to check doc status w/ Koji (QA-plan and techn doc sheet)</t>
    </r>
    <r>
      <rPr>
        <sz val="10"/>
        <rFont val="Arial"/>
        <family val="2"/>
      </rPr>
      <t xml:space="preserve">
31-01-2018: Adri: New item added</t>
    </r>
  </si>
  <si>
    <r>
      <t xml:space="preserve">28-02-2018 Hoa: </t>
    </r>
    <r>
      <rPr>
        <sz val="10"/>
        <color rgb="FFFF0000"/>
        <rFont val="Arial"/>
        <family val="2"/>
      </rPr>
      <t>Bas to share decision from Urata-san to Hoa</t>
    </r>
    <r>
      <rPr>
        <sz val="10"/>
        <color theme="1"/>
        <rFont val="Arial"/>
        <family val="2"/>
      </rPr>
      <t xml:space="preserve">
21-02-2018: Koji: Homework can be finalized by Tue 27-Feb; in order to get PSW approval #315 on time for 078, progress with current P-DR schedule of 094 and discuss with Jatco possibility for later release additional 094 lines.
16-02-2018 Adri (Info from Koji): P-DR3-5 is planning on 6th/Mar; Estimation PSW-S:12th/Mar PSW-A:       26th/Mar (both wa</t>
    </r>
    <r>
      <rPr>
        <sz val="10"/>
        <rFont val="Arial"/>
        <family val="2"/>
      </rPr>
      <t>s na)
07-02-2018 Kaneko: Check with Hoa or Koji status of HW preparation</t>
    </r>
    <r>
      <rPr>
        <sz val="10"/>
        <color theme="1"/>
        <rFont val="Arial"/>
        <family val="2"/>
      </rPr>
      <t xml:space="preserve">
31-1-2018 Kaneko: Got additional HW after reporting HW related to back-up furnace LL6
17-1-2018 Kaneko: HW reporting is scheduled on 1/23
27-12-2017 Koji: Homework submitted yesterday, awaiting feedback
20-12-2017 Kaneke: P-DR3 continuation done, homework received
18-12-2017 Adri: ISR done on 5/6 resp 12/13 Dec for AL11/14
13-12-2017 Kaneko: P-DR3 was held only 30 minutes due to Jatco internal reasons; continuation to be done on 19-Dec. QMC-JP will have a review meeting together with MQX before 19-Dec.
06-12-2017 Kaneko: P-DR#2 is passed; working on P-DR#3 at the moment; planned for 13 December, Kaneko to put in RBJP sheet
22-11-2017 Kaneko: P-DR0/1 passed
15-11-2017 Kaneko: P-DR0/1 postponed 21-11; P-DR2 postponed to 29-11, due to Aperam issue
[7-Nov] Kaneko: P-DR0/1 postponed to 15-Nov due to Jatco Takahashi's absence
[10-Oct] Adri: Ask actual status @ QMC1
[3-Oct] Koji:  P-DR0 material not yet finalized due to prio Jatco-vist</t>
    </r>
  </si>
  <si>
    <t>07-03-2018: Risk release 7-Mar cancelled, awaintin new release planning for AVO
28-02-2018: Quan to share NPC material w/ Martin; done
28-02-2018 Quan: Risk Assessment planned for 7-Mar; Kimura/Kaneko to update RBJP sheet
26-02-2018: Adri: Changed LL06AB into LL06, line will be released for all 4 tracks
14-02-2018: Adri: P-DR planning to be confirmed by Jatco
12-02-2018: Adri (Mail Quan 9-Feb) ISR from 15 to 23 Apr, PSW S from 15 to 27 Jun; Kaneko to check feasibility proposed DR-planning as proposed by Quan
09-02-2018: Adri (Info Kaneko-san): NPC submitted 9-Feb
02-02-2018: Adri: changed belt GUL into 078 only, due to frozen perion 094 12 months
01-02-2018 Bas: Timing updated together with Quan
30-01-2018: Adri: New item added</t>
  </si>
  <si>
    <r>
      <t>28-02-2018</t>
    </r>
    <r>
      <rPr>
        <sz val="10"/>
        <color rgb="FFFF0000"/>
        <rFont val="Arial"/>
        <family val="2"/>
      </rPr>
      <t>: Bas to Check reply Kaneko-san; CHeck w/ Bas</t>
    </r>
    <r>
      <rPr>
        <sz val="10"/>
        <color theme="1"/>
        <rFont val="Arial"/>
        <family val="2"/>
      </rPr>
      <t xml:space="preserve">
21-02-2018 Kaneko: </t>
    </r>
    <r>
      <rPr>
        <sz val="10"/>
        <rFont val="Arial"/>
        <family val="2"/>
      </rPr>
      <t>P-DR schedule to be supplied by Martin; Bas to check; Supplied</t>
    </r>
    <r>
      <rPr>
        <sz val="10"/>
        <color theme="1"/>
        <rFont val="Arial"/>
        <family val="2"/>
      </rPr>
      <t xml:space="preserve">
15-02-2018: Adri: updated planning (3 weeks delay) based on new schedule from Martin
09-02-2018 Adri (info Kaneko-san): NPC submitted on 9-Feb (original due was 24-Jan)
07-02-2018 Bas:</t>
    </r>
    <r>
      <rPr>
        <sz val="10"/>
        <rFont val="Arial"/>
        <family val="2"/>
      </rPr>
      <t xml:space="preserve"> Due to flexibility release, difficult to make capacity demand graph. Kaneko-san to check with Martin what is good storyline to convince Jatco in NPC</t>
    </r>
    <r>
      <rPr>
        <sz val="10"/>
        <color theme="1"/>
        <rFont val="Arial"/>
        <family val="2"/>
      </rPr>
      <t xml:space="preserve">
31-01-2018: Kaneko: Capacity demand graph to be prepared showing necessity of release
17-01-2018 Kaneko: Material received from SlpP, feedback to be send by 18-Jan
10-01-2018: Adri Info from Luis: Inserted planning
13-12-2017: Adri: Luis will start ECR today to get planning phase approved before NPC S and start filling project plan for this as basis (Please ask for support from TbP if needed)
29-11-2017 Adri: Info Luis/Martin 28-Nov: Project start in Dec, SlpP can send NPC in Dec 
15-11-2017 Adri: Plan showed during SlpP </t>
    </r>
    <r>
      <rPr>
        <sz val="10"/>
        <rFont val="Arial"/>
        <family val="2"/>
      </rPr>
      <t>bi-weekly CW45; Contact Luis to get agreement on presentation to StC 21-11; Not feasible, see remark 15-Nov</t>
    </r>
    <r>
      <rPr>
        <sz val="10"/>
        <color theme="1"/>
        <rFont val="Arial"/>
        <family val="2"/>
      </rPr>
      <t xml:space="preserve">
23-10-2017 Adri: SlpP is working on plan, present cw43 
19-10-2017: Martin: Plan under construction, prediscuss in biweekly release meeting cw43, next, 8 Nov w/ Diego
[09-Oct] Adri: SlpP will make draft project plan by 11-Oct
[3-Oct] Adri: Decided in StC MG-Projects 28-Sep to start project by SlpP; </t>
    </r>
    <r>
      <rPr>
        <sz val="10"/>
        <rFont val="Arial"/>
        <family val="2"/>
      </rPr>
      <t>Align planning w/ Humberto on 4-Oct</t>
    </r>
  </si>
  <si>
    <t>07-03-2018: Viktor: Jatco asks for early PSW S, ,not feasible, discuss in SE-team meeting on 8-Mar
17-01-2018 Bas: Confirm timing of ISR
05-01-2018: Adri: Risk of delay ISR due to delay 2 min. annealing coil
22-12-2017 Bas: During Project review it was observed that there is a difference on PFMEA between HcP and TbP. Therefore, possibility for postponement of ISR. Viktor to follow-up for this meeting
15-11-2017 Kaneko: P-DR3 processed; waiting for homework
08-11-2017 Bas: Confirm whether ISR timing is for TbP or HcP (18-02-2018); only HcP
[30-Oct] Kaneko: P-DR3 is scheduled on 8-Nov. (Review meeting is on 6-Nov)
[19-Oct] Kaneko: P-DR3 was set up on 1-Nov. Jatco MQX says P-DR3 must be done by 10-Nov, which is a rule for this change item.
[7-Aug] Kim; Please send the proposal date for P-DR#3/5. Viktor: Proposal P-DR#3/5 May 2018</t>
  </si>
  <si>
    <r>
      <t xml:space="preserve">07-03-2018: </t>
    </r>
    <r>
      <rPr>
        <sz val="10"/>
        <color rgb="FFFF0000"/>
        <rFont val="Arial"/>
        <family val="2"/>
      </rPr>
      <t>Tuan: delay due to PCP failure, updated schedule to be shared w/ Kimura-san this week</t>
    </r>
    <r>
      <rPr>
        <sz val="10"/>
        <color theme="1"/>
        <rFont val="Arial"/>
        <family val="2"/>
      </rPr>
      <t xml:space="preserve">
28-02-2018 Tuan: Possible delay due to PCP short-runner. New PCP tests to be planned and OK result required before Master Belt submission and PSW submission
14-02-2018 Kaneko; NPC R received
31-01-2018 Kaneko: P-DR012 passed no HW
23-01-2018: Adri: ISR performed
17-01-2018 B</t>
    </r>
    <r>
      <rPr>
        <sz val="10"/>
        <rFont val="Arial"/>
        <family val="2"/>
      </rPr>
      <t>as: Check if SOP timing can be pulled ahead to have simultaneous release with 078 SOP in SlpP, otherwise NPC must be submitted to JMEX</t>
    </r>
    <r>
      <rPr>
        <sz val="10"/>
        <color theme="1"/>
        <rFont val="Arial"/>
        <family val="2"/>
      </rPr>
      <t xml:space="preserve">
09-01-2018 Bas: Updated timing based on mail Tuan
27-12-2017 Tuan: Discussion on-going with QMC-JP; find out exact customer requirements to proceed with acticitiy
20-12-2017 Bas: Quan to check with Tuan what is latest status from QMM1-HcP side. Currently activities at Jatco are on hold
18-12-2017 Adri: ISR planned 18-Jan (Was 18-Dec, info Tam)
06-12-2017 Bas: Dates removed since on-hold due to Aperam, supply new dates
15-11-2017 Kimura: Homework submitted to Jatco, no feedback yet
[10-Oct] Tak-Minoru After preparation presentation by Tuan by begin cw42, P-DR-planning can be aligned w/ MQX
[3-Oct] P-DR dates to be planned</t>
    </r>
  </si>
  <si>
    <r>
      <t>07-03-2018: Hoa P-DR45 not passed,</t>
    </r>
    <r>
      <rPr>
        <sz val="10"/>
        <color rgb="FFFF0000"/>
        <rFont val="Arial"/>
        <family val="2"/>
      </rPr>
      <t xml:space="preserve"> homework,  to be submitted to Jatco until 9-Mar, </t>
    </r>
    <r>
      <rPr>
        <sz val="10"/>
        <rFont val="Arial"/>
        <family val="2"/>
      </rPr>
      <t xml:space="preserve">expection to pass PDR5 and PSW A on 15-Mar
28-02-2018 Hoa: </t>
    </r>
    <r>
      <rPr>
        <sz val="10"/>
        <color rgb="FFFF0000"/>
        <rFont val="Arial"/>
        <family val="2"/>
      </rPr>
      <t>Confirm PSW Submission OK with Tsujimoto-san and Greg</t>
    </r>
    <r>
      <rPr>
        <sz val="10"/>
        <rFont val="Arial"/>
        <family val="2"/>
      </rPr>
      <t xml:space="preserve">
07-02-2018 Bas: PSW Approval needed on 15-March for 078 belt; if not received on 15-March high possibility for additional release needed with JMEX. Since 078 belt is assembled in SlpP from 15-March, if PSW A is received later, NPC submission to JMEX is likely; Align with Martin
31-01-2018 Hoa: Early warning due to corrosion on loop; ISR result may be delayed
10-01-2018 Hoa: Please check if it is possible to meet the PSW Approval timing of 15-3 when we combine this release with #270
03-01-2018 Hoa: Possible to pull PSW Submission ahea</t>
    </r>
    <r>
      <rPr>
        <sz val="10"/>
        <color theme="1"/>
        <rFont val="Arial"/>
        <family val="2"/>
      </rPr>
      <t>d, Hoa to share updated schedule</t>
    </r>
    <r>
      <rPr>
        <sz val="10"/>
        <rFont val="Arial"/>
        <family val="2"/>
      </rPr>
      <t xml:space="preserve">
27-12-2017 Bas</t>
    </r>
    <r>
      <rPr>
        <sz val="10"/>
        <color theme="1"/>
        <rFont val="Arial"/>
        <family val="2"/>
      </rPr>
      <t>: Hoa to try and pull SOP to middle of March to propose to JMEX simultaneous release of this change item with #222 i</t>
    </r>
    <r>
      <rPr>
        <sz val="10"/>
        <rFont val="Arial"/>
        <family val="2"/>
      </rPr>
      <t xml:space="preserve">
20-12-2017 B</t>
    </r>
    <r>
      <rPr>
        <sz val="10"/>
        <color theme="1"/>
        <rFont val="Arial"/>
        <family val="2"/>
      </rPr>
      <t>as: Submit NPC for 078 on Fri 22-12</t>
    </r>
    <r>
      <rPr>
        <sz val="10"/>
        <rFont val="Arial"/>
        <family val="2"/>
      </rPr>
      <t>, follow-up will be done in Change item #270;</t>
    </r>
    <r>
      <rPr>
        <sz val="10"/>
        <color theme="1"/>
        <rFont val="Arial"/>
        <family val="2"/>
      </rPr>
      <t xml:space="preserve"> Hoa to inform SlpP as well</t>
    </r>
    <r>
      <rPr>
        <sz val="10"/>
        <rFont val="Arial"/>
        <family val="2"/>
      </rPr>
      <t xml:space="preserve">
13-12-2017</t>
    </r>
    <r>
      <rPr>
        <sz val="10"/>
        <color rgb="FFFF0000"/>
        <rFont val="Arial"/>
        <family val="2"/>
      </rPr>
      <t xml:space="preserve"> </t>
    </r>
    <r>
      <rPr>
        <sz val="10"/>
        <color theme="1"/>
        <rFont val="Arial"/>
        <family val="2"/>
      </rPr>
      <t>Hoa: Set-up meeting to clarify requirements with QMC-JP and QMC1-CT</t>
    </r>
    <r>
      <rPr>
        <sz val="10"/>
        <rFont val="Arial"/>
        <family val="2"/>
      </rPr>
      <t xml:space="preserve">
06-12-2017 Hoa: NPC will be submitted after ECR planning approved on 8-Dec. Currently not on the agenda. To take into account boht 094 and 078.
29-11-2017 Bas: Follow up with Koji when he has agreement on release strategy for 078 w/ Hoa
30-10-2017 Adri: info Monique: to be combined w/ AVO 094 #270, under discussion w/ Jatco
24-10-2017 Adri: Added as new item, decision StC B 7-Sep, SOP April 2018, Ask Monique to provide planning</t>
    </r>
  </si>
  <si>
    <r>
      <rPr>
        <sz val="9"/>
        <color theme="1"/>
        <rFont val="ＭＳ Ｐゴシック"/>
        <family val="3"/>
        <charset val="128"/>
      </rPr>
      <t>要</t>
    </r>
    <r>
      <rPr>
        <sz val="9"/>
        <color theme="1"/>
        <rFont val="Arial"/>
        <family val="2"/>
      </rPr>
      <t>DR</t>
    </r>
  </si>
  <si>
    <t>F-DR2a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</si>
</sst>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409]d\-mmm\-yyyy;@"/>
    <numFmt numFmtId="165" formatCode="[$-409]mmm/yy;@"/>
    <numFmt numFmtId="166" formatCode="dd/mm/yy;@"/>
    <numFmt numFmtId="167" formatCode="[$-409]d/mmm/yy;@"/>
    <numFmt numFmtId="168" formatCode="m/d;@"/>
    <numFmt numFmtId="169" formatCode="d\-m;@"/>
    <numFmt numFmtId="170" formatCode="d/m;@"/>
  </numFmts>
  <fonts count="55">
    <font>
      <sz val="10"/>
      <color theme="1"/>
      <name val="Arial"/>
      <family val="2"/>
    </font>
    <font>
      <b/>
      <sz val="9"/>
      <color indexed="81"/>
      <name val="Tahoma"/>
      <family val="2"/>
    </font>
    <font>
      <sz val="9"/>
      <color indexed="81"/>
      <name val="Tahoma"/>
      <family val="2"/>
    </font>
    <font>
      <b/>
      <sz val="10"/>
      <color theme="1"/>
      <name val="Arial"/>
      <family val="2"/>
    </font>
    <font>
      <sz val="10"/>
      <name val="Arial"/>
      <family val="2"/>
    </font>
    <font>
      <sz val="10"/>
      <color indexed="8"/>
      <name val="Arial"/>
      <family val="2"/>
    </font>
    <font>
      <sz val="10"/>
      <color rgb="FFFF0000"/>
      <name val="Arial"/>
      <family val="2"/>
    </font>
    <font>
      <sz val="10"/>
      <color theme="0"/>
      <name val="Arial"/>
      <family val="2"/>
    </font>
    <font>
      <sz val="10"/>
      <color theme="1"/>
      <name val="Arial"/>
      <family val="2"/>
    </font>
    <font>
      <sz val="6"/>
      <name val="ＭＳ Ｐゴシック"/>
      <family val="3"/>
      <charset val="128"/>
    </font>
    <font>
      <sz val="10"/>
      <color theme="1"/>
      <name val="ＭＳ Ｐゴシック"/>
      <family val="3"/>
      <charset val="128"/>
    </font>
    <font>
      <sz val="9"/>
      <color theme="1"/>
      <name val="Arial"/>
      <family val="2"/>
    </font>
    <font>
      <b/>
      <sz val="9"/>
      <color theme="1"/>
      <name val="Arial"/>
      <family val="2"/>
    </font>
    <font>
      <sz val="8"/>
      <color theme="1"/>
      <name val="Arial"/>
      <family val="2"/>
    </font>
    <font>
      <b/>
      <sz val="8"/>
      <color theme="1"/>
      <name val="Arial"/>
      <family val="2"/>
    </font>
    <font>
      <b/>
      <u/>
      <sz val="10"/>
      <color theme="1"/>
      <name val="Arial"/>
      <family val="2"/>
    </font>
    <font>
      <strike/>
      <sz val="10"/>
      <color theme="1"/>
      <name val="Arial"/>
      <family val="2"/>
    </font>
    <font>
      <sz val="10"/>
      <color rgb="FF000000"/>
      <name val="Bosch Office Sans"/>
      <family val="2"/>
    </font>
    <font>
      <b/>
      <sz val="7"/>
      <color theme="0"/>
      <name val="Arial Black"/>
      <family val="2"/>
    </font>
    <font>
      <b/>
      <strike/>
      <sz val="7"/>
      <color theme="0"/>
      <name val="Arial Black"/>
      <family val="2"/>
    </font>
    <font>
      <sz val="10"/>
      <color rgb="FF000000"/>
      <name val="Wingdings"/>
      <charset val="2"/>
    </font>
    <font>
      <sz val="10"/>
      <color theme="4" tint="-0.249977111117893"/>
      <name val="Arial"/>
      <family val="2"/>
    </font>
    <font>
      <strike/>
      <sz val="10"/>
      <name val="Arial"/>
      <family val="2"/>
    </font>
    <font>
      <b/>
      <sz val="10"/>
      <color rgb="FFFF0000"/>
      <name val="Arial"/>
      <family val="2"/>
    </font>
    <font>
      <sz val="9"/>
      <color rgb="FFFF0000"/>
      <name val="Arial"/>
      <family val="2"/>
    </font>
    <font>
      <sz val="10"/>
      <color rgb="FF00B0F0"/>
      <name val="Arial"/>
      <family val="2"/>
    </font>
    <font>
      <strike/>
      <sz val="10"/>
      <color rgb="FFFF0000"/>
      <name val="Arial"/>
      <family val="2"/>
    </font>
    <font>
      <sz val="9"/>
      <color rgb="FFFF0000"/>
      <name val="ＭＳ Ｐゴシック"/>
      <family val="3"/>
      <charset val="128"/>
    </font>
    <font>
      <strike/>
      <sz val="9"/>
      <name val="Calibri Light"/>
      <family val="2"/>
    </font>
    <font>
      <strike/>
      <sz val="10"/>
      <color theme="1"/>
      <name val="Calibri Light"/>
      <family val="2"/>
    </font>
    <font>
      <sz val="10"/>
      <name val="ＭＳ Ｐゴシック"/>
      <family val="3"/>
      <charset val="128"/>
    </font>
    <font>
      <sz val="9"/>
      <color theme="1"/>
      <name val="ＭＳ Ｐゴシック"/>
      <family val="3"/>
      <charset val="128"/>
    </font>
    <font>
      <sz val="10"/>
      <color theme="1"/>
      <name val="Wingdings"/>
      <charset val="2"/>
    </font>
    <font>
      <sz val="9"/>
      <name val="Arial"/>
      <family val="2"/>
    </font>
    <font>
      <strike/>
      <sz val="9"/>
      <name val="Arial"/>
      <family val="2"/>
    </font>
    <font>
      <sz val="9"/>
      <name val="ＭＳ Ｐゴシック"/>
      <family val="3"/>
      <charset val="128"/>
    </font>
    <font>
      <sz val="9"/>
      <name val="MS Gothic"/>
      <family val="3"/>
    </font>
    <font>
      <sz val="9"/>
      <name val="MS PGothic"/>
      <family val="2"/>
    </font>
    <font>
      <strike/>
      <sz val="9"/>
      <name val="ＭＳ Ｐゴシック"/>
      <family val="3"/>
      <charset val="128"/>
    </font>
    <font>
      <sz val="10"/>
      <color rgb="FF0000FF"/>
      <name val="Arial"/>
      <family val="2"/>
    </font>
    <font>
      <b/>
      <sz val="7"/>
      <color theme="0"/>
      <name val="Arial"/>
      <family val="2"/>
    </font>
    <font>
      <b/>
      <strike/>
      <sz val="7"/>
      <color theme="0"/>
      <name val="Arial"/>
      <family val="2"/>
    </font>
    <font>
      <b/>
      <u/>
      <sz val="10"/>
      <name val="Arial"/>
      <family val="2"/>
    </font>
    <font>
      <strike/>
      <sz val="10"/>
      <name val="Calibri Light"/>
      <family val="2"/>
    </font>
    <font>
      <b/>
      <strike/>
      <sz val="7"/>
      <color theme="0"/>
      <name val="Calibri Light"/>
      <family val="2"/>
    </font>
    <font>
      <sz val="10"/>
      <color rgb="FF006100"/>
      <name val="Arial"/>
      <family val="2"/>
    </font>
    <font>
      <b/>
      <sz val="7"/>
      <color theme="1"/>
      <name val="Arial Black"/>
      <family val="2"/>
    </font>
    <font>
      <b/>
      <sz val="7"/>
      <color theme="1"/>
      <name val="Arial"/>
      <family val="2"/>
    </font>
    <font>
      <sz val="10"/>
      <color indexed="10"/>
      <name val="Arial"/>
      <family val="2"/>
    </font>
    <font>
      <strike/>
      <sz val="10"/>
      <color indexed="10"/>
      <name val="Arial"/>
      <family val="2"/>
    </font>
    <font>
      <b/>
      <u/>
      <sz val="10"/>
      <color indexed="10"/>
      <name val="Arial"/>
      <family val="2"/>
    </font>
    <font>
      <b/>
      <strike/>
      <sz val="7"/>
      <color theme="1"/>
      <name val="Arial Black"/>
      <family val="2"/>
    </font>
    <font>
      <b/>
      <strike/>
      <sz val="7"/>
      <color theme="1"/>
      <name val="Arial"/>
      <family val="2"/>
    </font>
    <font>
      <sz val="9"/>
      <color indexed="81"/>
      <name val="ＭＳ Ｐゴシック"/>
      <family val="3"/>
      <charset val="128"/>
    </font>
    <font>
      <b/>
      <sz val="9"/>
      <color indexed="81"/>
      <name val="ＭＳ Ｐゴシック"/>
      <family val="3"/>
      <charset val="128"/>
    </font>
  </fonts>
  <fills count="22">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rgb="FFFF9999"/>
        <bgColor indexed="64"/>
      </patternFill>
    </fill>
    <fill>
      <patternFill patternType="solid">
        <fgColor indexed="41"/>
        <bgColor indexed="64"/>
      </patternFill>
    </fill>
    <fill>
      <patternFill patternType="solid">
        <fgColor rgb="FF66FF33"/>
        <bgColor indexed="64"/>
      </patternFill>
    </fill>
    <fill>
      <patternFill patternType="solid">
        <fgColor indexed="65"/>
        <bgColor indexed="64"/>
      </patternFill>
    </fill>
    <fill>
      <patternFill patternType="solid">
        <fgColor rgb="FFFFC000"/>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rgb="FF00B0F0"/>
        <bgColor indexed="64"/>
      </patternFill>
    </fill>
    <fill>
      <patternFill patternType="solid">
        <fgColor theme="0"/>
        <bgColor indexed="64"/>
      </patternFill>
    </fill>
    <fill>
      <patternFill patternType="solid">
        <fgColor rgb="FFCCFFFF"/>
        <bgColor indexed="64"/>
      </patternFill>
    </fill>
    <fill>
      <patternFill patternType="solid">
        <fgColor rgb="FF00FF00"/>
        <bgColor indexed="64"/>
      </patternFill>
    </fill>
    <fill>
      <patternFill patternType="solid">
        <fgColor theme="2" tint="-0.249977111117893"/>
        <bgColor indexed="64"/>
      </patternFill>
    </fill>
    <fill>
      <patternFill patternType="solid">
        <fgColor rgb="FFC6EFCE"/>
      </patternFill>
    </fill>
  </fills>
  <borders count="90">
    <border>
      <left/>
      <right/>
      <top/>
      <bottom/>
      <diagonal/>
    </border>
    <border>
      <left style="thin">
        <color auto="1"/>
      </left>
      <right style="thin">
        <color auto="1"/>
      </right>
      <top/>
      <bottom/>
      <diagonal/>
    </border>
    <border>
      <left style="thin">
        <color auto="1"/>
      </left>
      <right/>
      <top/>
      <bottom/>
      <diagonal/>
    </border>
    <border>
      <left/>
      <right style="thick">
        <color auto="1"/>
      </right>
      <top style="thick">
        <color auto="1"/>
      </top>
      <bottom style="thick">
        <color auto="1"/>
      </bottom>
      <diagonal/>
    </border>
    <border>
      <left style="dashed">
        <color auto="1"/>
      </left>
      <right style="dashed">
        <color auto="1"/>
      </right>
      <top/>
      <bottom style="dashed">
        <color auto="1"/>
      </bottom>
      <diagonal/>
    </border>
    <border>
      <left style="dashed">
        <color auto="1"/>
      </left>
      <right style="medium">
        <color auto="1"/>
      </right>
      <top/>
      <bottom style="dashed">
        <color auto="1"/>
      </bottom>
      <diagonal/>
    </border>
    <border>
      <left/>
      <right style="dashed">
        <color auto="1"/>
      </right>
      <top/>
      <bottom style="dashed">
        <color auto="1"/>
      </bottom>
      <diagonal/>
    </border>
    <border>
      <left style="thin">
        <color auto="1"/>
      </left>
      <right/>
      <top style="thick">
        <color auto="1"/>
      </top>
      <bottom/>
      <diagonal/>
    </border>
    <border>
      <left style="thin">
        <color auto="1"/>
      </left>
      <right style="thin">
        <color auto="1"/>
      </right>
      <top style="thick">
        <color auto="1"/>
      </top>
      <bottom/>
      <diagonal/>
    </border>
    <border>
      <left style="medium">
        <color auto="1"/>
      </left>
      <right/>
      <top style="thick">
        <color auto="1"/>
      </top>
      <bottom style="thick">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thin">
        <color auto="1"/>
      </left>
      <right style="thick">
        <color auto="1"/>
      </right>
      <top style="thick">
        <color auto="1"/>
      </top>
      <bottom/>
      <diagonal/>
    </border>
    <border>
      <left/>
      <right/>
      <top/>
      <bottom style="medium">
        <color auto="1"/>
      </bottom>
      <diagonal/>
    </border>
    <border>
      <left style="thin">
        <color auto="1"/>
      </left>
      <right style="thin">
        <color auto="1"/>
      </right>
      <top/>
      <bottom style="medium">
        <color auto="1"/>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thick">
        <color auto="1"/>
      </left>
      <right style="thin">
        <color auto="1"/>
      </right>
      <top/>
      <bottom/>
      <diagonal/>
    </border>
    <border>
      <left/>
      <right style="thick">
        <color auto="1"/>
      </right>
      <top/>
      <bottom/>
      <diagonal/>
    </border>
    <border>
      <left style="thick">
        <color auto="1"/>
      </left>
      <right style="thick">
        <color auto="1"/>
      </right>
      <top/>
      <bottom/>
      <diagonal/>
    </border>
    <border>
      <left style="thick">
        <color auto="1"/>
      </left>
      <right style="medium">
        <color auto="1"/>
      </right>
      <top/>
      <bottom/>
      <diagonal/>
    </border>
    <border>
      <left style="thin">
        <color auto="1"/>
      </left>
      <right/>
      <top style="thick">
        <color auto="1"/>
      </top>
      <bottom style="thin">
        <color auto="1"/>
      </bottom>
      <diagonal/>
    </border>
    <border>
      <left/>
      <right/>
      <top style="thick">
        <color auto="1"/>
      </top>
      <bottom style="thin">
        <color auto="1"/>
      </bottom>
      <diagonal/>
    </border>
    <border>
      <left style="thin">
        <color auto="1"/>
      </left>
      <right style="thin">
        <color auto="1"/>
      </right>
      <top/>
      <bottom style="thick">
        <color auto="1"/>
      </bottom>
      <diagonal/>
    </border>
    <border>
      <left style="thin">
        <color auto="1"/>
      </left>
      <right style="thin">
        <color auto="1"/>
      </right>
      <top style="thin">
        <color auto="1"/>
      </top>
      <bottom style="thick">
        <color auto="1"/>
      </bottom>
      <diagonal/>
    </border>
    <border>
      <left/>
      <right/>
      <top style="medium">
        <color auto="1"/>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rgb="FFABABAB"/>
      </left>
      <right/>
      <top style="thin">
        <color rgb="FFABABAB"/>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top/>
      <bottom style="thick">
        <color auto="1"/>
      </bottom>
      <diagonal/>
    </border>
    <border>
      <left style="thin">
        <color auto="1"/>
      </left>
      <right/>
      <top/>
      <bottom style="medium">
        <color auto="1"/>
      </bottom>
      <diagonal/>
    </border>
    <border>
      <left style="thin">
        <color auto="1"/>
      </left>
      <right/>
      <top style="thin">
        <color auto="1"/>
      </top>
      <bottom style="medium">
        <color auto="1"/>
      </bottom>
      <diagonal/>
    </border>
    <border>
      <left style="thin">
        <color indexed="64"/>
      </left>
      <right style="thin">
        <color indexed="64"/>
      </right>
      <top style="thin">
        <color indexed="64"/>
      </top>
      <bottom style="medium">
        <color auto="1"/>
      </bottom>
      <diagonal/>
    </border>
    <border>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style="thin">
        <color auto="1"/>
      </right>
      <top style="dashed">
        <color auto="1"/>
      </top>
      <bottom style="medium">
        <color auto="1"/>
      </bottom>
      <diagonal/>
    </border>
    <border>
      <left style="dashed">
        <color auto="1"/>
      </left>
      <right style="thin">
        <color auto="1"/>
      </right>
      <top/>
      <bottom style="medium">
        <color auto="1"/>
      </bottom>
      <diagonal/>
    </border>
    <border>
      <left style="medium">
        <color auto="1"/>
      </left>
      <right style="dashed">
        <color auto="1"/>
      </right>
      <top/>
      <bottom style="dashed">
        <color auto="1"/>
      </bottom>
      <diagonal/>
    </border>
    <border>
      <left style="thin">
        <color auto="1"/>
      </left>
      <right/>
      <top style="medium">
        <color auto="1"/>
      </top>
      <bottom style="medium">
        <color auto="1"/>
      </bottom>
      <diagonal/>
    </border>
    <border>
      <left/>
      <right style="dashed">
        <color auto="1"/>
      </right>
      <top style="medium">
        <color auto="1"/>
      </top>
      <bottom style="medium">
        <color auto="1"/>
      </bottom>
      <diagonal/>
    </border>
    <border>
      <left style="dashed">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style="medium">
        <color auto="1"/>
      </top>
      <bottom style="medium">
        <color auto="1"/>
      </bottom>
      <diagonal/>
    </border>
    <border>
      <left style="thin">
        <color auto="1"/>
      </left>
      <right/>
      <top style="medium">
        <color auto="1"/>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dashed">
        <color auto="1"/>
      </left>
      <right/>
      <top/>
      <bottom style="dashed">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medium">
        <color auto="1"/>
      </top>
      <bottom style="dashed">
        <color auto="1"/>
      </bottom>
      <diagonal/>
    </border>
    <border>
      <left style="thin">
        <color auto="1"/>
      </left>
      <right style="thin">
        <color auto="1"/>
      </right>
      <top style="medium">
        <color auto="1"/>
      </top>
      <bottom/>
      <diagonal/>
    </border>
    <border>
      <left style="dashed">
        <color auto="1"/>
      </left>
      <right style="dotted">
        <color auto="1"/>
      </right>
      <top style="dashed">
        <color auto="1"/>
      </top>
      <bottom style="medium">
        <color auto="1"/>
      </bottom>
      <diagonal/>
    </border>
    <border>
      <left style="dotted">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medium">
        <color auto="1"/>
      </left>
      <right style="dotted">
        <color auto="1"/>
      </right>
      <top style="medium">
        <color auto="1"/>
      </top>
      <bottom style="medium">
        <color auto="1"/>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auto="1"/>
      </left>
      <right/>
      <top style="medium">
        <color indexed="64"/>
      </top>
      <bottom style="thin">
        <color indexed="64"/>
      </bottom>
      <diagonal/>
    </border>
    <border>
      <left style="thin">
        <color auto="1"/>
      </left>
      <right style="dashed">
        <color auto="1"/>
      </right>
      <top/>
      <bottom style="medium">
        <color auto="1"/>
      </bottom>
      <diagonal/>
    </border>
    <border>
      <left style="thin">
        <color auto="1"/>
      </left>
      <right/>
      <top style="thick">
        <color auto="1"/>
      </top>
      <bottom style="medium">
        <color auto="1"/>
      </bottom>
      <diagonal/>
    </border>
    <border>
      <left style="thin">
        <color auto="1"/>
      </left>
      <right style="dashed">
        <color auto="1"/>
      </right>
      <top style="medium">
        <color auto="1"/>
      </top>
      <bottom style="dashed">
        <color auto="1"/>
      </bottom>
      <diagonal/>
    </border>
    <border>
      <left style="thin">
        <color auto="1"/>
      </left>
      <right style="dashed">
        <color auto="1"/>
      </right>
      <top/>
      <bottom style="dashed">
        <color auto="1"/>
      </bottom>
      <diagonal/>
    </border>
    <border>
      <left/>
      <right style="thin">
        <color auto="1"/>
      </right>
      <top style="medium">
        <color auto="1"/>
      </top>
      <bottom style="medium">
        <color auto="1"/>
      </bottom>
      <diagonal/>
    </border>
    <border>
      <left/>
      <right style="thin">
        <color auto="1"/>
      </right>
      <top style="thin">
        <color auto="1"/>
      </top>
      <bottom/>
      <diagonal/>
    </border>
    <border>
      <left/>
      <right style="thin">
        <color auto="1"/>
      </right>
      <top style="medium">
        <color auto="1"/>
      </top>
      <bottom/>
      <diagonal/>
    </border>
    <border>
      <left/>
      <right style="thin">
        <color auto="1"/>
      </right>
      <top/>
      <bottom style="medium">
        <color auto="1"/>
      </bottom>
      <diagonal/>
    </border>
    <border>
      <left/>
      <right style="thin">
        <color indexed="64"/>
      </right>
      <top style="thin">
        <color indexed="64"/>
      </top>
      <bottom style="thin">
        <color indexed="64"/>
      </bottom>
      <diagonal/>
    </border>
    <border>
      <left style="thin">
        <color auto="1"/>
      </left>
      <right style="thin">
        <color auto="1"/>
      </right>
      <top style="thick">
        <color auto="1"/>
      </top>
      <bottom style="medium">
        <color auto="1"/>
      </bottom>
      <diagonal/>
    </border>
    <border>
      <left style="dashed">
        <color auto="1"/>
      </left>
      <right/>
      <top/>
      <bottom style="medium">
        <color auto="1"/>
      </bottom>
      <diagonal/>
    </border>
    <border>
      <left style="dashed">
        <color auto="1"/>
      </left>
      <right/>
      <top style="dashed">
        <color auto="1"/>
      </top>
      <bottom style="dashed">
        <color auto="1"/>
      </bottom>
      <diagonal/>
    </border>
    <border>
      <left style="dashed">
        <color auto="1"/>
      </left>
      <right/>
      <top style="dashed">
        <color auto="1"/>
      </top>
      <bottom style="medium">
        <color auto="1"/>
      </bottom>
      <diagonal/>
    </border>
    <border>
      <left style="dashed">
        <color auto="1"/>
      </left>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4">
    <xf numFmtId="0" fontId="0" fillId="0" borderId="0"/>
    <xf numFmtId="0" fontId="5" fillId="0" borderId="0"/>
    <xf numFmtId="0" fontId="8" fillId="0" borderId="0"/>
    <xf numFmtId="0" fontId="45" fillId="21" borderId="0" applyNumberFormat="0" applyBorder="0" applyAlignment="0" applyProtection="0"/>
  </cellStyleXfs>
  <cellXfs count="1130">
    <xf numFmtId="0" fontId="0" fillId="0" borderId="0" xfId="0"/>
    <xf numFmtId="165" fontId="7" fillId="0" borderId="0" xfId="0" applyNumberFormat="1" applyFont="1" applyAlignment="1">
      <alignment horizontal="right"/>
    </xf>
    <xf numFmtId="0" fontId="8" fillId="0" borderId="0" xfId="2" applyFont="1" applyBorder="1" applyAlignment="1">
      <alignment horizontal="left"/>
    </xf>
    <xf numFmtId="49" fontId="8" fillId="0" borderId="0" xfId="2" applyNumberFormat="1" applyFont="1" applyBorder="1" applyAlignment="1">
      <alignment horizontal="left"/>
    </xf>
    <xf numFmtId="0" fontId="8" fillId="0" borderId="0" xfId="0" applyFont="1" applyBorder="1" applyAlignment="1">
      <alignment horizontal="center" vertical="center"/>
    </xf>
    <xf numFmtId="0" fontId="8" fillId="0" borderId="0" xfId="0" applyFont="1" applyBorder="1"/>
    <xf numFmtId="49" fontId="8" fillId="0" borderId="17" xfId="0" quotePrefix="1" applyNumberFormat="1" applyFont="1" applyFill="1" applyBorder="1" applyAlignment="1" applyProtection="1">
      <alignment vertical="top"/>
      <protection locked="0"/>
    </xf>
    <xf numFmtId="0" fontId="8" fillId="0" borderId="0" xfId="0" applyFont="1"/>
    <xf numFmtId="49" fontId="8" fillId="0" borderId="1" xfId="0" quotePrefix="1" applyNumberFormat="1" applyFont="1" applyFill="1" applyBorder="1" applyAlignment="1" applyProtection="1">
      <alignment vertical="top"/>
      <protection locked="0"/>
    </xf>
    <xf numFmtId="0" fontId="8" fillId="0" borderId="16" xfId="0" applyFont="1" applyBorder="1"/>
    <xf numFmtId="0" fontId="8" fillId="0" borderId="18" xfId="0" applyFont="1" applyBorder="1"/>
    <xf numFmtId="49" fontId="8" fillId="0" borderId="19" xfId="0" quotePrefix="1" applyNumberFormat="1" applyFont="1" applyFill="1" applyBorder="1" applyAlignment="1" applyProtection="1">
      <alignment vertical="top"/>
      <protection locked="0"/>
    </xf>
    <xf numFmtId="49" fontId="8" fillId="0" borderId="1" xfId="0" applyNumberFormat="1" applyFont="1" applyFill="1" applyBorder="1" applyAlignment="1" applyProtection="1">
      <alignment vertical="top"/>
      <protection locked="0"/>
    </xf>
    <xf numFmtId="0" fontId="8" fillId="0" borderId="1" xfId="0" quotePrefix="1" applyFont="1" applyFill="1" applyBorder="1" applyAlignment="1" applyProtection="1">
      <alignment vertical="top"/>
      <protection locked="0"/>
    </xf>
    <xf numFmtId="165" fontId="8" fillId="0" borderId="0" xfId="0" applyNumberFormat="1" applyFont="1" applyAlignment="1">
      <alignment horizontal="right"/>
    </xf>
    <xf numFmtId="165" fontId="8" fillId="0" borderId="0" xfId="0" applyNumberFormat="1" applyFont="1"/>
    <xf numFmtId="0" fontId="7" fillId="0" borderId="0" xfId="0" applyNumberFormat="1" applyFont="1"/>
    <xf numFmtId="0" fontId="11" fillId="0" borderId="0" xfId="0" applyFont="1" applyBorder="1"/>
    <xf numFmtId="168" fontId="0" fillId="2" borderId="35" xfId="0" applyNumberFormat="1" applyFill="1" applyBorder="1" applyAlignment="1" applyProtection="1"/>
    <xf numFmtId="168" fontId="0" fillId="2" borderId="36" xfId="0" applyNumberFormat="1" applyFill="1" applyBorder="1" applyAlignment="1" applyProtection="1"/>
    <xf numFmtId="168" fontId="3" fillId="2" borderId="26" xfId="0" applyNumberFormat="1" applyFont="1" applyFill="1" applyBorder="1" applyAlignment="1" applyProtection="1">
      <alignment horizontal="left" vertical="top" textRotation="90" wrapText="1"/>
    </xf>
    <xf numFmtId="168" fontId="3" fillId="2" borderId="27" xfId="0" applyNumberFormat="1" applyFont="1" applyFill="1" applyBorder="1" applyAlignment="1" applyProtection="1">
      <alignment horizontal="left" vertical="top" textRotation="90" wrapText="1"/>
    </xf>
    <xf numFmtId="49" fontId="0" fillId="0" borderId="1" xfId="0" quotePrefix="1" applyNumberFormat="1" applyFont="1" applyFill="1" applyBorder="1" applyAlignment="1" applyProtection="1">
      <alignment vertical="top"/>
      <protection locked="0"/>
    </xf>
    <xf numFmtId="0" fontId="8" fillId="0" borderId="0" xfId="0" applyFont="1" applyBorder="1" applyAlignment="1">
      <alignment horizontal="center"/>
    </xf>
    <xf numFmtId="168" fontId="8" fillId="0" borderId="0" xfId="2" applyNumberFormat="1" applyFont="1" applyBorder="1" applyAlignment="1">
      <alignment horizontal="left" vertical="top"/>
    </xf>
    <xf numFmtId="165" fontId="7" fillId="0" borderId="0" xfId="0" applyNumberFormat="1" applyFont="1"/>
    <xf numFmtId="0" fontId="16" fillId="0" borderId="0" xfId="0" applyFont="1" applyBorder="1"/>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9" borderId="1" xfId="0" applyFill="1" applyBorder="1" applyAlignment="1" applyProtection="1">
      <alignment vertical="top"/>
      <protection locked="0"/>
    </xf>
    <xf numFmtId="168" fontId="8" fillId="0" borderId="0" xfId="0" applyNumberFormat="1" applyFont="1" applyAlignment="1">
      <alignment horizontal="center"/>
    </xf>
    <xf numFmtId="0" fontId="0" fillId="0" borderId="2" xfId="0" applyBorder="1" applyAlignment="1" applyProtection="1">
      <alignment horizontal="left" vertical="top"/>
      <protection locked="0"/>
    </xf>
    <xf numFmtId="14" fontId="8" fillId="0" borderId="17" xfId="0" applyNumberFormat="1" applyFont="1" applyFill="1" applyBorder="1" applyAlignment="1" applyProtection="1">
      <alignment vertical="top"/>
      <protection locked="0"/>
    </xf>
    <xf numFmtId="14" fontId="8" fillId="0" borderId="1" xfId="0" applyNumberFormat="1" applyFont="1" applyFill="1" applyBorder="1" applyAlignment="1" applyProtection="1">
      <alignment vertical="top"/>
      <protection locked="0"/>
    </xf>
    <xf numFmtId="1" fontId="0" fillId="0" borderId="1" xfId="0" applyNumberFormat="1" applyBorder="1" applyAlignment="1" applyProtection="1">
      <alignment horizontal="center" vertical="top"/>
      <protection locked="0"/>
    </xf>
    <xf numFmtId="0" fontId="8" fillId="0" borderId="1" xfId="0" applyFont="1" applyBorder="1" applyAlignment="1" applyProtection="1">
      <alignment vertical="top"/>
      <protection locked="0"/>
    </xf>
    <xf numFmtId="14" fontId="8" fillId="0" borderId="1" xfId="0" applyNumberFormat="1" applyFont="1" applyBorder="1" applyAlignment="1" applyProtection="1">
      <alignment vertical="top"/>
      <protection locked="0"/>
    </xf>
    <xf numFmtId="14" fontId="8" fillId="0" borderId="17" xfId="0" applyNumberFormat="1" applyFont="1" applyBorder="1" applyAlignment="1" applyProtection="1">
      <alignment vertical="top"/>
      <protection locked="0"/>
    </xf>
    <xf numFmtId="0" fontId="4" fillId="0" borderId="0" xfId="0" applyFont="1" applyFill="1" applyBorder="1" applyAlignment="1" applyProtection="1">
      <alignment vertical="top"/>
      <protection locked="0"/>
    </xf>
    <xf numFmtId="166" fontId="8" fillId="0" borderId="1" xfId="0" applyNumberFormat="1" applyFont="1" applyBorder="1" applyAlignment="1" applyProtection="1">
      <alignment vertical="top"/>
      <protection locked="0"/>
    </xf>
    <xf numFmtId="14" fontId="8" fillId="0" borderId="19" xfId="0" applyNumberFormat="1" applyFont="1" applyFill="1" applyBorder="1" applyAlignment="1" applyProtection="1">
      <alignment vertical="top"/>
      <protection locked="0"/>
    </xf>
    <xf numFmtId="0" fontId="8" fillId="0" borderId="1" xfId="0" applyFont="1" applyBorder="1" applyAlignment="1" applyProtection="1">
      <alignment horizontal="center" vertical="top"/>
      <protection locked="0"/>
    </xf>
    <xf numFmtId="0" fontId="8" fillId="0" borderId="1" xfId="0" applyFont="1" applyBorder="1" applyAlignment="1" applyProtection="1">
      <alignment horizontal="left" vertical="top"/>
      <protection locked="0"/>
    </xf>
    <xf numFmtId="0" fontId="8" fillId="0" borderId="16" xfId="0" applyFont="1" applyBorder="1" applyAlignment="1" applyProtection="1">
      <alignment vertical="top"/>
      <protection locked="0"/>
    </xf>
    <xf numFmtId="0" fontId="8" fillId="0" borderId="18" xfId="0" applyFont="1" applyBorder="1" applyAlignment="1" applyProtection="1">
      <alignment vertical="top"/>
      <protection locked="0"/>
    </xf>
    <xf numFmtId="0" fontId="8" fillId="0" borderId="19" xfId="0" applyFont="1" applyBorder="1" applyAlignment="1" applyProtection="1">
      <alignment horizontal="center" vertical="top"/>
      <protection locked="0"/>
    </xf>
    <xf numFmtId="0" fontId="16" fillId="0" borderId="1" xfId="0" applyFont="1" applyFill="1" applyBorder="1" applyAlignment="1" applyProtection="1">
      <alignment horizontal="left" vertical="top"/>
      <protection locked="0"/>
    </xf>
    <xf numFmtId="0" fontId="16" fillId="0" borderId="1" xfId="0" applyFont="1" applyFill="1" applyBorder="1" applyAlignment="1" applyProtection="1">
      <alignment vertical="top"/>
      <protection locked="0"/>
    </xf>
    <xf numFmtId="1" fontId="16" fillId="0" borderId="1" xfId="0" applyNumberFormat="1" applyFont="1" applyFill="1" applyBorder="1" applyAlignment="1" applyProtection="1">
      <alignment horizontal="center" vertical="top"/>
      <protection locked="0"/>
    </xf>
    <xf numFmtId="168" fontId="0" fillId="8" borderId="0" xfId="0" applyNumberFormat="1" applyFont="1" applyFill="1" applyAlignment="1" applyProtection="1">
      <alignment horizontal="center"/>
    </xf>
    <xf numFmtId="168" fontId="8" fillId="0" borderId="0" xfId="0" applyNumberFormat="1" applyFont="1" applyFill="1" applyProtection="1"/>
    <xf numFmtId="168" fontId="7" fillId="0" borderId="0" xfId="0" applyNumberFormat="1" applyFont="1" applyFill="1" applyProtection="1"/>
    <xf numFmtId="168" fontId="8" fillId="0" borderId="0" xfId="0" applyNumberFormat="1" applyFont="1" applyProtection="1"/>
    <xf numFmtId="168" fontId="7" fillId="0" borderId="0" xfId="0" applyNumberFormat="1" applyFont="1" applyProtection="1"/>
    <xf numFmtId="165" fontId="8" fillId="0" borderId="0" xfId="0" applyNumberFormat="1" applyFont="1" applyProtection="1"/>
    <xf numFmtId="0" fontId="0" fillId="0" borderId="0" xfId="2" applyFont="1" applyBorder="1" applyAlignment="1" applyProtection="1">
      <alignment horizontal="center"/>
      <protection locked="0"/>
    </xf>
    <xf numFmtId="0" fontId="0" fillId="8" borderId="0" xfId="0" applyFont="1" applyFill="1" applyAlignment="1" applyProtection="1">
      <alignment horizontal="center"/>
      <protection locked="0"/>
    </xf>
    <xf numFmtId="168" fontId="0" fillId="8" borderId="0" xfId="0" applyNumberFormat="1" applyFont="1" applyFill="1" applyAlignment="1" applyProtection="1">
      <alignment horizontal="center"/>
      <protection locked="0"/>
    </xf>
    <xf numFmtId="0" fontId="4" fillId="10" borderId="0" xfId="0" applyFont="1" applyFill="1" applyAlignment="1" applyProtection="1">
      <alignment horizontal="center"/>
      <protection locked="0"/>
    </xf>
    <xf numFmtId="0" fontId="0" fillId="0" borderId="0" xfId="0" applyFont="1" applyAlignment="1" applyProtection="1">
      <alignment horizontal="center"/>
      <protection locked="0"/>
    </xf>
    <xf numFmtId="165" fontId="0" fillId="0" borderId="0" xfId="0" applyNumberFormat="1" applyFont="1" applyAlignment="1" applyProtection="1">
      <alignment horizontal="center"/>
      <protection locked="0"/>
    </xf>
    <xf numFmtId="165" fontId="4" fillId="10" borderId="37" xfId="0" applyNumberFormat="1" applyFont="1" applyFill="1" applyBorder="1" applyAlignment="1" applyProtection="1">
      <alignment horizontal="center"/>
      <protection locked="0"/>
    </xf>
    <xf numFmtId="168" fontId="4" fillId="10" borderId="0" xfId="0" applyNumberFormat="1" applyFont="1" applyFill="1" applyAlignment="1" applyProtection="1">
      <alignment horizontal="center"/>
      <protection locked="0"/>
    </xf>
    <xf numFmtId="165" fontId="0" fillId="8" borderId="0" xfId="0" applyNumberFormat="1" applyFont="1" applyFill="1" applyAlignment="1" applyProtection="1">
      <alignment horizontal="center"/>
      <protection locked="0"/>
    </xf>
    <xf numFmtId="0" fontId="4" fillId="8" borderId="0" xfId="0" applyFont="1" applyFill="1" applyBorder="1" applyAlignment="1" applyProtection="1">
      <alignment horizontal="center" vertical="top"/>
      <protection locked="0"/>
    </xf>
    <xf numFmtId="0" fontId="11" fillId="0" borderId="0" xfId="2" applyFont="1" applyBorder="1" applyAlignment="1" applyProtection="1">
      <alignment horizontal="right"/>
      <protection locked="0"/>
    </xf>
    <xf numFmtId="49" fontId="11" fillId="0" borderId="0" xfId="2" applyNumberFormat="1" applyFont="1" applyBorder="1" applyAlignment="1" applyProtection="1">
      <alignment horizontal="right"/>
      <protection locked="0"/>
    </xf>
    <xf numFmtId="164" fontId="11" fillId="2" borderId="7" xfId="0" applyNumberFormat="1" applyFont="1" applyFill="1" applyBorder="1" applyAlignment="1" applyProtection="1">
      <alignment horizontal="center"/>
      <protection locked="0"/>
    </xf>
    <xf numFmtId="168" fontId="11" fillId="2" borderId="7" xfId="0" applyNumberFormat="1" applyFont="1" applyFill="1" applyBorder="1" applyAlignment="1" applyProtection="1">
      <alignment horizontal="center"/>
      <protection locked="0"/>
    </xf>
    <xf numFmtId="0" fontId="11" fillId="7" borderId="0" xfId="0" applyFont="1" applyFill="1" applyBorder="1" applyAlignment="1" applyProtection="1">
      <alignment horizontal="center"/>
      <protection locked="0"/>
    </xf>
    <xf numFmtId="164" fontId="11" fillId="4" borderId="8" xfId="0" applyNumberFormat="1" applyFont="1" applyFill="1" applyBorder="1" applyAlignment="1" applyProtection="1">
      <alignment horizontal="right"/>
      <protection locked="0"/>
    </xf>
    <xf numFmtId="0" fontId="11" fillId="2" borderId="8" xfId="0" applyFont="1" applyFill="1" applyBorder="1" applyProtection="1">
      <protection locked="0"/>
    </xf>
    <xf numFmtId="0" fontId="11" fillId="2" borderId="8" xfId="0" applyFont="1" applyFill="1" applyBorder="1" applyAlignment="1" applyProtection="1">
      <alignment horizontal="center"/>
      <protection locked="0"/>
    </xf>
    <xf numFmtId="49" fontId="12" fillId="2" borderId="24" xfId="0" applyNumberFormat="1" applyFont="1" applyFill="1" applyBorder="1" applyAlignment="1" applyProtection="1">
      <alignment horizontal="center" vertical="center"/>
      <protection locked="0"/>
    </xf>
    <xf numFmtId="49" fontId="12" fillId="2" borderId="25" xfId="0" applyNumberFormat="1" applyFont="1" applyFill="1" applyBorder="1" applyAlignment="1" applyProtection="1">
      <alignment horizontal="center" vertical="center"/>
      <protection locked="0"/>
    </xf>
    <xf numFmtId="167" fontId="0" fillId="2" borderId="35" xfId="0" applyNumberFormat="1" applyFill="1" applyBorder="1" applyAlignment="1" applyProtection="1">
      <protection locked="0"/>
    </xf>
    <xf numFmtId="1" fontId="11" fillId="2" borderId="15" xfId="0" applyNumberFormat="1" applyFont="1" applyFill="1" applyBorder="1" applyAlignment="1" applyProtection="1">
      <alignment horizontal="center"/>
      <protection locked="0"/>
    </xf>
    <xf numFmtId="0" fontId="11" fillId="5" borderId="11" xfId="0" applyFont="1" applyFill="1" applyBorder="1" applyAlignment="1" applyProtection="1">
      <alignment horizontal="left"/>
      <protection locked="0"/>
    </xf>
    <xf numFmtId="0" fontId="12" fillId="5" borderId="10" xfId="0" applyNumberFormat="1" applyFont="1" applyFill="1" applyBorder="1" applyAlignment="1" applyProtection="1">
      <alignment horizontal="center"/>
      <protection locked="0"/>
    </xf>
    <xf numFmtId="0" fontId="12" fillId="5" borderId="12" xfId="0" applyNumberFormat="1" applyFont="1" applyFill="1" applyBorder="1" applyAlignment="1" applyProtection="1">
      <alignment horizontal="center"/>
      <protection locked="0"/>
    </xf>
    <xf numFmtId="0" fontId="11" fillId="5" borderId="9" xfId="0" applyFont="1" applyFill="1" applyBorder="1" applyAlignment="1" applyProtection="1">
      <alignment horizontal="left"/>
      <protection locked="0"/>
    </xf>
    <xf numFmtId="0" fontId="11" fillId="5" borderId="10" xfId="0" applyFont="1" applyFill="1" applyBorder="1" applyProtection="1">
      <protection locked="0"/>
    </xf>
    <xf numFmtId="0" fontId="11" fillId="5" borderId="3" xfId="0" applyFont="1" applyFill="1" applyBorder="1" applyProtection="1">
      <protection locked="0"/>
    </xf>
    <xf numFmtId="0" fontId="11" fillId="6" borderId="11" xfId="0" applyFont="1" applyFill="1" applyBorder="1" applyAlignment="1" applyProtection="1">
      <alignment horizontal="left"/>
      <protection locked="0"/>
    </xf>
    <xf numFmtId="0" fontId="12" fillId="6" borderId="10" xfId="0" applyNumberFormat="1" applyFont="1" applyFill="1" applyBorder="1" applyAlignment="1" applyProtection="1">
      <alignment horizontal="center"/>
      <protection locked="0"/>
    </xf>
    <xf numFmtId="0" fontId="12" fillId="6" borderId="12" xfId="0" applyNumberFormat="1" applyFont="1" applyFill="1" applyBorder="1" applyAlignment="1" applyProtection="1">
      <alignment horizontal="center"/>
      <protection locked="0"/>
    </xf>
    <xf numFmtId="0" fontId="11" fillId="0" borderId="0" xfId="0" applyFont="1" applyBorder="1" applyAlignment="1" applyProtection="1">
      <alignment horizontal="center" vertical="center"/>
      <protection locked="0"/>
    </xf>
    <xf numFmtId="0" fontId="8" fillId="0" borderId="0" xfId="2" applyFont="1" applyBorder="1" applyAlignment="1" applyProtection="1">
      <alignment horizontal="left"/>
      <protection locked="0"/>
    </xf>
    <xf numFmtId="0" fontId="4" fillId="0" borderId="32" xfId="0" applyFont="1" applyBorder="1" applyAlignment="1" applyProtection="1">
      <alignment horizontal="left"/>
      <protection locked="0"/>
    </xf>
    <xf numFmtId="0" fontId="3" fillId="2" borderId="2" xfId="0" applyFont="1" applyFill="1" applyBorder="1" applyAlignment="1" applyProtection="1">
      <alignment horizontal="center" vertical="top"/>
      <protection locked="0"/>
    </xf>
    <xf numFmtId="168" fontId="3" fillId="2" borderId="2" xfId="0" applyNumberFormat="1" applyFont="1" applyFill="1" applyBorder="1" applyAlignment="1" applyProtection="1">
      <alignment horizontal="center" vertical="top" wrapText="1"/>
      <protection locked="0"/>
    </xf>
    <xf numFmtId="49" fontId="3" fillId="3" borderId="20" xfId="0" applyNumberFormat="1" applyFont="1" applyFill="1" applyBorder="1" applyAlignment="1" applyProtection="1">
      <alignment horizontal="center" vertical="top"/>
      <protection locked="0"/>
    </xf>
    <xf numFmtId="49" fontId="3" fillId="3" borderId="29" xfId="0" applyNumberFormat="1" applyFont="1" applyFill="1" applyBorder="1" applyAlignment="1" applyProtection="1">
      <alignment horizontal="center" vertical="top"/>
      <protection locked="0"/>
    </xf>
    <xf numFmtId="0" fontId="3" fillId="2" borderId="1" xfId="0" applyFont="1" applyFill="1" applyBorder="1" applyAlignment="1" applyProtection="1">
      <alignment horizontal="center" vertical="top"/>
      <protection locked="0"/>
    </xf>
    <xf numFmtId="0" fontId="3" fillId="2" borderId="1" xfId="0" applyFont="1" applyFill="1" applyBorder="1" applyAlignment="1" applyProtection="1">
      <alignment horizontal="center" vertical="top" wrapText="1"/>
      <protection locked="0"/>
    </xf>
    <xf numFmtId="1" fontId="8" fillId="2" borderId="1" xfId="0" applyNumberFormat="1" applyFont="1" applyFill="1" applyBorder="1" applyAlignment="1" applyProtection="1">
      <alignment horizontal="center" vertical="top" wrapText="1"/>
      <protection locked="0"/>
    </xf>
    <xf numFmtId="165" fontId="8" fillId="5" borderId="21" xfId="0" applyNumberFormat="1" applyFont="1" applyFill="1" applyBorder="1" applyAlignment="1" applyProtection="1">
      <alignment vertical="top" textRotation="90"/>
      <protection locked="0"/>
    </xf>
    <xf numFmtId="165" fontId="8" fillId="5" borderId="22" xfId="0" applyNumberFormat="1" applyFont="1" applyFill="1" applyBorder="1" applyAlignment="1" applyProtection="1">
      <alignment vertical="top" textRotation="90"/>
      <protection locked="0"/>
    </xf>
    <xf numFmtId="165" fontId="8" fillId="5" borderId="23" xfId="0" applyNumberFormat="1" applyFont="1" applyFill="1" applyBorder="1" applyAlignment="1" applyProtection="1">
      <alignment vertical="top" textRotation="90"/>
      <protection locked="0"/>
    </xf>
    <xf numFmtId="165" fontId="8" fillId="6" borderId="21" xfId="0" applyNumberFormat="1" applyFont="1" applyFill="1" applyBorder="1" applyAlignment="1" applyProtection="1">
      <alignment vertical="top" textRotation="90"/>
      <protection locked="0"/>
    </xf>
    <xf numFmtId="165" fontId="8" fillId="6" borderId="22" xfId="0" applyNumberFormat="1" applyFont="1" applyFill="1" applyBorder="1" applyAlignment="1" applyProtection="1">
      <alignment vertical="top" textRotation="90"/>
      <protection locked="0"/>
    </xf>
    <xf numFmtId="0" fontId="4" fillId="0" borderId="16" xfId="0" applyFont="1" applyFill="1" applyBorder="1" applyAlignment="1" applyProtection="1">
      <alignment vertical="top"/>
      <protection locked="0"/>
    </xf>
    <xf numFmtId="168" fontId="13" fillId="12" borderId="0" xfId="0" applyNumberFormat="1" applyFont="1" applyFill="1" applyBorder="1" applyAlignment="1" applyProtection="1">
      <alignment vertical="top"/>
      <protection locked="0"/>
    </xf>
    <xf numFmtId="0" fontId="18" fillId="0" borderId="6" xfId="0" applyNumberFormat="1" applyFont="1" applyBorder="1" applyAlignment="1" applyProtection="1">
      <alignment horizontal="center" vertical="top"/>
      <protection locked="0"/>
    </xf>
    <xf numFmtId="0" fontId="18" fillId="0" borderId="4" xfId="0" applyNumberFormat="1" applyFont="1" applyBorder="1" applyAlignment="1" applyProtection="1">
      <alignment horizontal="center" vertical="top"/>
      <protection locked="0"/>
    </xf>
    <xf numFmtId="0" fontId="18" fillId="0" borderId="5" xfId="0" applyNumberFormat="1" applyFont="1" applyBorder="1" applyAlignment="1" applyProtection="1">
      <alignment horizontal="center" vertical="top"/>
      <protection locked="0"/>
    </xf>
    <xf numFmtId="0" fontId="18" fillId="0" borderId="14" xfId="0" applyNumberFormat="1" applyFont="1" applyBorder="1" applyAlignment="1" applyProtection="1">
      <alignment horizontal="center" vertical="top"/>
      <protection locked="0"/>
    </xf>
    <xf numFmtId="0" fontId="8" fillId="0" borderId="17" xfId="0" applyFont="1" applyBorder="1" applyAlignment="1" applyProtection="1">
      <alignment horizontal="center" vertical="top"/>
      <protection locked="0"/>
    </xf>
    <xf numFmtId="0" fontId="4" fillId="0" borderId="0" xfId="0" applyFont="1" applyFill="1" applyAlignment="1" applyProtection="1">
      <alignment vertical="top"/>
      <protection locked="0"/>
    </xf>
    <xf numFmtId="0" fontId="18" fillId="0" borderId="13" xfId="0" applyNumberFormat="1" applyFont="1" applyBorder="1" applyAlignment="1" applyProtection="1">
      <alignment horizontal="center" vertical="top"/>
      <protection locked="0"/>
    </xf>
    <xf numFmtId="0" fontId="4" fillId="10" borderId="0" xfId="0" applyFont="1" applyFill="1" applyBorder="1" applyAlignment="1" applyProtection="1">
      <alignment vertical="top"/>
      <protection locked="0"/>
    </xf>
    <xf numFmtId="168" fontId="13" fillId="0" borderId="0" xfId="0" applyNumberFormat="1" applyFont="1" applyFill="1" applyBorder="1" applyAlignment="1" applyProtection="1">
      <alignment vertical="top"/>
      <protection locked="0"/>
    </xf>
    <xf numFmtId="168" fontId="13" fillId="14" borderId="0" xfId="0" applyNumberFormat="1" applyFont="1" applyFill="1" applyBorder="1" applyAlignment="1" applyProtection="1">
      <alignment vertical="top"/>
      <protection locked="0"/>
    </xf>
    <xf numFmtId="0" fontId="8" fillId="0" borderId="1" xfId="0" applyFont="1" applyFill="1" applyBorder="1" applyAlignment="1" applyProtection="1">
      <alignment vertical="top"/>
      <protection locked="0"/>
    </xf>
    <xf numFmtId="0" fontId="8" fillId="0" borderId="0" xfId="0" applyFont="1" applyFill="1" applyBorder="1" applyAlignment="1" applyProtection="1">
      <alignment vertical="top"/>
      <protection locked="0"/>
    </xf>
    <xf numFmtId="0" fontId="18" fillId="0" borderId="4" xfId="0" applyNumberFormat="1" applyFont="1" applyBorder="1" applyAlignment="1" applyProtection="1">
      <alignment horizontal="left" vertical="top"/>
      <protection locked="0"/>
    </xf>
    <xf numFmtId="0" fontId="17" fillId="0" borderId="1" xfId="0" applyFont="1" applyFill="1" applyBorder="1" applyAlignment="1" applyProtection="1">
      <alignment horizontal="left" vertical="top"/>
      <protection locked="0"/>
    </xf>
    <xf numFmtId="0" fontId="19" fillId="0" borderId="4" xfId="0" applyNumberFormat="1" applyFont="1" applyBorder="1" applyAlignment="1" applyProtection="1">
      <alignment horizontal="center" vertical="top"/>
      <protection locked="0"/>
    </xf>
    <xf numFmtId="0" fontId="19" fillId="0" borderId="5" xfId="0" applyNumberFormat="1" applyFont="1" applyBorder="1" applyAlignment="1" applyProtection="1">
      <alignment horizontal="center" vertical="top"/>
      <protection locked="0"/>
    </xf>
    <xf numFmtId="0" fontId="19" fillId="0" borderId="13" xfId="0" applyNumberFormat="1" applyFont="1" applyBorder="1" applyAlignment="1" applyProtection="1">
      <alignment horizontal="center" vertical="top"/>
      <protection locked="0"/>
    </xf>
    <xf numFmtId="0" fontId="18" fillId="0" borderId="6" xfId="0" applyNumberFormat="1" applyFont="1" applyFill="1" applyBorder="1" applyAlignment="1" applyProtection="1">
      <alignment horizontal="center" vertical="top"/>
      <protection locked="0"/>
    </xf>
    <xf numFmtId="0" fontId="18" fillId="0" borderId="4" xfId="0" applyNumberFormat="1" applyFont="1" applyFill="1" applyBorder="1" applyAlignment="1" applyProtection="1">
      <alignment horizontal="center" vertical="top"/>
      <protection locked="0"/>
    </xf>
    <xf numFmtId="0" fontId="18" fillId="0" borderId="5" xfId="0" applyNumberFormat="1" applyFont="1" applyFill="1" applyBorder="1" applyAlignment="1" applyProtection="1">
      <alignment horizontal="center" vertical="top"/>
      <protection locked="0"/>
    </xf>
    <xf numFmtId="0" fontId="18" fillId="0" borderId="13" xfId="0" applyNumberFormat="1" applyFont="1" applyFill="1" applyBorder="1" applyAlignment="1" applyProtection="1">
      <alignment horizontal="center" vertical="top"/>
      <protection locked="0"/>
    </xf>
    <xf numFmtId="0" fontId="8" fillId="0" borderId="0" xfId="0" applyFont="1" applyBorder="1" applyAlignment="1" applyProtection="1">
      <alignment vertical="top"/>
      <protection locked="0"/>
    </xf>
    <xf numFmtId="0" fontId="8" fillId="0" borderId="16" xfId="0" applyFont="1" applyFill="1" applyBorder="1" applyAlignment="1" applyProtection="1">
      <alignment vertical="top"/>
      <protection locked="0"/>
    </xf>
    <xf numFmtId="0" fontId="8" fillId="0" borderId="17" xfId="0" applyFont="1" applyFill="1" applyBorder="1" applyAlignment="1" applyProtection="1">
      <alignment vertical="top"/>
      <protection locked="0"/>
    </xf>
    <xf numFmtId="0" fontId="18" fillId="8" borderId="4" xfId="0" applyNumberFormat="1" applyFont="1" applyFill="1" applyBorder="1" applyAlignment="1" applyProtection="1">
      <alignment horizontal="center" vertical="top"/>
      <protection locked="0"/>
    </xf>
    <xf numFmtId="0" fontId="18" fillId="8" borderId="6" xfId="0" applyNumberFormat="1" applyFont="1" applyFill="1" applyBorder="1" applyAlignment="1" applyProtection="1">
      <alignment horizontal="center" vertical="top"/>
      <protection locked="0"/>
    </xf>
    <xf numFmtId="0" fontId="8" fillId="0" borderId="0" xfId="0" applyFont="1" applyAlignment="1" applyProtection="1">
      <alignment vertical="top"/>
      <protection locked="0"/>
    </xf>
    <xf numFmtId="0" fontId="0" fillId="0" borderId="0" xfId="0" applyAlignment="1" applyProtection="1">
      <alignment vertical="top"/>
      <protection locked="0"/>
    </xf>
    <xf numFmtId="0" fontId="0" fillId="0" borderId="1" xfId="0" quotePrefix="1" applyFill="1" applyBorder="1" applyAlignment="1" applyProtection="1">
      <alignment vertical="top"/>
      <protection locked="0"/>
    </xf>
    <xf numFmtId="0" fontId="16" fillId="0" borderId="0" xfId="0" applyFont="1" applyAlignment="1" applyProtection="1">
      <alignment vertical="top"/>
      <protection locked="0"/>
    </xf>
    <xf numFmtId="0" fontId="16" fillId="0" borderId="1" xfId="0" quotePrefix="1" applyFont="1" applyFill="1" applyBorder="1" applyAlignment="1" applyProtection="1">
      <alignment vertical="top"/>
      <protection locked="0"/>
    </xf>
    <xf numFmtId="0" fontId="16" fillId="0" borderId="1" xfId="0" applyFont="1" applyBorder="1" applyAlignment="1" applyProtection="1">
      <alignment vertical="top"/>
      <protection locked="0"/>
    </xf>
    <xf numFmtId="1" fontId="16" fillId="0" borderId="1" xfId="0" applyNumberFormat="1" applyFont="1" applyBorder="1" applyAlignment="1" applyProtection="1">
      <alignment horizontal="center" vertical="top"/>
      <protection locked="0"/>
    </xf>
    <xf numFmtId="0" fontId="19" fillId="0" borderId="6" xfId="0" applyNumberFormat="1" applyFont="1" applyBorder="1" applyAlignment="1" applyProtection="1">
      <alignment horizontal="center" vertical="top"/>
      <protection locked="0"/>
    </xf>
    <xf numFmtId="0" fontId="0" fillId="0" borderId="1" xfId="0" applyBorder="1" applyAlignment="1">
      <alignment vertical="top"/>
    </xf>
    <xf numFmtId="0" fontId="0" fillId="0" borderId="1" xfId="0" applyFill="1" applyBorder="1" applyAlignment="1" applyProtection="1">
      <alignment horizontal="left" vertical="top"/>
      <protection locked="0"/>
    </xf>
    <xf numFmtId="0" fontId="16" fillId="0" borderId="16" xfId="0" applyFont="1" applyFill="1" applyBorder="1" applyAlignment="1" applyProtection="1">
      <alignment vertical="top"/>
      <protection locked="0"/>
    </xf>
    <xf numFmtId="0" fontId="16" fillId="0" borderId="17" xfId="0" applyFont="1" applyFill="1" applyBorder="1" applyAlignment="1" applyProtection="1">
      <alignment vertical="top"/>
      <protection locked="0"/>
    </xf>
    <xf numFmtId="0" fontId="16" fillId="0" borderId="16" xfId="0" applyFont="1" applyBorder="1"/>
    <xf numFmtId="0" fontId="16" fillId="0" borderId="0" xfId="0" applyFont="1" applyFill="1" applyBorder="1" applyAlignment="1" applyProtection="1">
      <alignment vertical="top"/>
      <protection locked="0"/>
    </xf>
    <xf numFmtId="49" fontId="16" fillId="0" borderId="1" xfId="0" quotePrefix="1" applyNumberFormat="1" applyFont="1" applyFill="1" applyBorder="1" applyAlignment="1" applyProtection="1">
      <alignment vertical="top"/>
      <protection locked="0"/>
    </xf>
    <xf numFmtId="14" fontId="8" fillId="0" borderId="17" xfId="0" applyNumberFormat="1" applyFont="1" applyBorder="1" applyAlignment="1" applyProtection="1">
      <alignment vertical="top" wrapText="1"/>
      <protection locked="0"/>
    </xf>
    <xf numFmtId="0" fontId="0" fillId="0" borderId="0" xfId="0" applyFont="1" applyBorder="1" applyAlignment="1">
      <alignment horizontal="center"/>
    </xf>
    <xf numFmtId="0" fontId="0" fillId="0" borderId="17" xfId="0" applyBorder="1" applyAlignment="1" applyProtection="1">
      <alignment vertical="top"/>
      <protection locked="0"/>
    </xf>
    <xf numFmtId="0" fontId="0" fillId="0" borderId="38" xfId="0" applyBorder="1" applyAlignment="1" applyProtection="1">
      <alignment horizontal="left" vertical="top"/>
      <protection locked="0"/>
    </xf>
    <xf numFmtId="1" fontId="0" fillId="0" borderId="17" xfId="0" applyNumberFormat="1" applyFill="1" applyBorder="1" applyAlignment="1" applyProtection="1">
      <alignment horizontal="center" vertical="top"/>
      <protection locked="0"/>
    </xf>
    <xf numFmtId="0" fontId="18" fillId="0" borderId="41" xfId="0" applyNumberFormat="1" applyFont="1" applyBorder="1" applyAlignment="1" applyProtection="1">
      <alignment horizontal="center" vertical="top"/>
      <protection locked="0"/>
    </xf>
    <xf numFmtId="0" fontId="18" fillId="0" borderId="42" xfId="0" applyNumberFormat="1" applyFont="1" applyBorder="1" applyAlignment="1" applyProtection="1">
      <alignment horizontal="center" vertical="top"/>
      <protection locked="0"/>
    </xf>
    <xf numFmtId="0" fontId="18" fillId="0" borderId="43" xfId="0" applyNumberFormat="1" applyFont="1" applyBorder="1" applyAlignment="1" applyProtection="1">
      <alignment horizontal="center" vertical="top"/>
      <protection locked="0"/>
    </xf>
    <xf numFmtId="0" fontId="18" fillId="0" borderId="44" xfId="0" applyNumberFormat="1" applyFont="1" applyBorder="1" applyAlignment="1" applyProtection="1">
      <alignment horizontal="center" vertical="top"/>
      <protection locked="0"/>
    </xf>
    <xf numFmtId="1" fontId="0" fillId="0" borderId="17" xfId="0" applyNumberFormat="1" applyBorder="1" applyAlignment="1" applyProtection="1">
      <alignment horizontal="center" vertical="top"/>
      <protection locked="0"/>
    </xf>
    <xf numFmtId="0" fontId="18" fillId="0" borderId="45" xfId="0" applyNumberFormat="1" applyFont="1" applyBorder="1" applyAlignment="1" applyProtection="1">
      <alignment horizontal="center" vertical="top"/>
      <protection locked="0"/>
    </xf>
    <xf numFmtId="0" fontId="18" fillId="0" borderId="46" xfId="0" applyNumberFormat="1" applyFont="1" applyBorder="1" applyAlignment="1" applyProtection="1">
      <alignment horizontal="center" vertical="top"/>
      <protection locked="0"/>
    </xf>
    <xf numFmtId="168" fontId="0" fillId="16" borderId="47" xfId="0" applyNumberFormat="1" applyFill="1" applyBorder="1" applyAlignment="1" applyProtection="1">
      <alignment horizontal="center" vertical="top"/>
      <protection locked="0"/>
    </xf>
    <xf numFmtId="0" fontId="0" fillId="0" borderId="19" xfId="0" applyBorder="1" applyAlignment="1" applyProtection="1">
      <alignment vertical="top"/>
      <protection locked="0"/>
    </xf>
    <xf numFmtId="0" fontId="0" fillId="0" borderId="47" xfId="0" applyBorder="1" applyAlignment="1" applyProtection="1">
      <alignment horizontal="left" vertical="top"/>
      <protection locked="0"/>
    </xf>
    <xf numFmtId="168" fontId="4" fillId="0" borderId="19" xfId="0" applyNumberFormat="1" applyFont="1" applyFill="1" applyBorder="1" applyAlignment="1" applyProtection="1">
      <alignment horizontal="center" vertical="top"/>
    </xf>
    <xf numFmtId="168" fontId="0" fillId="0" borderId="19" xfId="0" applyNumberFormat="1" applyFill="1" applyBorder="1" applyAlignment="1" applyProtection="1">
      <alignment horizontal="center" vertical="top"/>
    </xf>
    <xf numFmtId="168" fontId="0" fillId="0" borderId="19" xfId="0" applyNumberFormat="1" applyBorder="1" applyAlignment="1" applyProtection="1">
      <alignment vertical="top"/>
    </xf>
    <xf numFmtId="1" fontId="0" fillId="0" borderId="19" xfId="0" applyNumberFormat="1" applyBorder="1" applyAlignment="1" applyProtection="1">
      <alignment horizontal="center" vertical="top"/>
      <protection locked="0"/>
    </xf>
    <xf numFmtId="0" fontId="18" fillId="0" borderId="48" xfId="0" applyNumberFormat="1" applyFont="1" applyBorder="1" applyAlignment="1" applyProtection="1">
      <alignment horizontal="center" vertical="top"/>
      <protection locked="0"/>
    </xf>
    <xf numFmtId="0" fontId="18" fillId="0" borderId="49" xfId="0" applyNumberFormat="1" applyFont="1" applyBorder="1" applyAlignment="1" applyProtection="1">
      <alignment horizontal="center" vertical="top"/>
      <protection locked="0"/>
    </xf>
    <xf numFmtId="0" fontId="18" fillId="0" borderId="50" xfId="0" applyNumberFormat="1" applyFont="1" applyBorder="1" applyAlignment="1" applyProtection="1">
      <alignment horizontal="center" vertical="top"/>
      <protection locked="0"/>
    </xf>
    <xf numFmtId="0" fontId="18" fillId="0" borderId="51" xfId="0" applyNumberFormat="1" applyFont="1" applyBorder="1" applyAlignment="1" applyProtection="1">
      <alignment horizontal="center" vertical="top"/>
      <protection locked="0"/>
    </xf>
    <xf numFmtId="0" fontId="16" fillId="0" borderId="17" xfId="0" applyFont="1" applyBorder="1" applyAlignment="1" applyProtection="1">
      <alignment vertical="top"/>
      <protection locked="0"/>
    </xf>
    <xf numFmtId="0" fontId="16" fillId="0" borderId="38" xfId="0" applyFont="1" applyBorder="1" applyAlignment="1" applyProtection="1">
      <alignment horizontal="left" vertical="top"/>
      <protection locked="0"/>
    </xf>
    <xf numFmtId="1" fontId="16" fillId="0" borderId="17" xfId="0" applyNumberFormat="1" applyFont="1" applyBorder="1" applyAlignment="1" applyProtection="1">
      <alignment horizontal="center" vertical="top"/>
      <protection locked="0"/>
    </xf>
    <xf numFmtId="0" fontId="18" fillId="8" borderId="42" xfId="0" applyNumberFormat="1" applyFont="1" applyFill="1" applyBorder="1" applyAlignment="1" applyProtection="1">
      <alignment horizontal="center" vertical="top"/>
      <protection locked="0"/>
    </xf>
    <xf numFmtId="0" fontId="18" fillId="8" borderId="43" xfId="0" applyNumberFormat="1" applyFont="1" applyFill="1" applyBorder="1" applyAlignment="1" applyProtection="1">
      <alignment horizontal="center" vertical="top"/>
      <protection locked="0"/>
    </xf>
    <xf numFmtId="0" fontId="18" fillId="8" borderId="41" xfId="0" applyNumberFormat="1" applyFont="1" applyFill="1" applyBorder="1" applyAlignment="1" applyProtection="1">
      <alignment horizontal="center" vertical="top"/>
      <protection locked="0"/>
    </xf>
    <xf numFmtId="49" fontId="0" fillId="0" borderId="17" xfId="0" quotePrefix="1" applyNumberFormat="1" applyFont="1" applyFill="1" applyBorder="1" applyAlignment="1" applyProtection="1">
      <alignment vertical="top"/>
      <protection locked="0"/>
    </xf>
    <xf numFmtId="0" fontId="18" fillId="0" borderId="49" xfId="0" applyNumberFormat="1" applyFont="1" applyFill="1" applyBorder="1" applyAlignment="1" applyProtection="1">
      <alignment horizontal="center" vertical="top"/>
      <protection locked="0"/>
    </xf>
    <xf numFmtId="0" fontId="8" fillId="0" borderId="19" xfId="0" applyFont="1" applyBorder="1" applyAlignment="1" applyProtection="1">
      <alignment vertical="top"/>
      <protection locked="0"/>
    </xf>
    <xf numFmtId="165" fontId="0" fillId="2" borderId="0" xfId="0" applyNumberFormat="1" applyFont="1" applyFill="1" applyBorder="1" applyAlignment="1">
      <alignment shrinkToFit="1"/>
    </xf>
    <xf numFmtId="165" fontId="0" fillId="2" borderId="0" xfId="0" applyNumberFormat="1" applyFont="1" applyFill="1" applyBorder="1" applyAlignment="1">
      <alignment horizontal="center" shrinkToFit="1"/>
    </xf>
    <xf numFmtId="168" fontId="0" fillId="2" borderId="24" xfId="0" applyNumberFormat="1" applyFill="1" applyBorder="1" applyAlignment="1" applyProtection="1"/>
    <xf numFmtId="168" fontId="0" fillId="2" borderId="25" xfId="0" applyNumberFormat="1" applyFill="1" applyBorder="1" applyAlignment="1" applyProtection="1"/>
    <xf numFmtId="168" fontId="8" fillId="13" borderId="2" xfId="2" applyNumberFormat="1" applyFont="1" applyFill="1" applyBorder="1" applyAlignment="1" applyProtection="1">
      <alignment horizontal="right" vertical="top" textRotation="90"/>
      <protection locked="0"/>
    </xf>
    <xf numFmtId="168" fontId="8" fillId="0" borderId="16" xfId="2" applyNumberFormat="1" applyFont="1" applyBorder="1" applyAlignment="1" applyProtection="1">
      <alignment horizontal="center" vertical="top"/>
      <protection locked="0"/>
    </xf>
    <xf numFmtId="168" fontId="8" fillId="0" borderId="0" xfId="2" applyNumberFormat="1" applyFont="1" applyBorder="1" applyAlignment="1" applyProtection="1">
      <alignment horizontal="center" vertical="top"/>
      <protection locked="0"/>
    </xf>
    <xf numFmtId="168" fontId="8" fillId="0" borderId="18" xfId="2" applyNumberFormat="1" applyFont="1" applyBorder="1" applyAlignment="1" applyProtection="1">
      <alignment horizontal="center" vertical="top"/>
      <protection locked="0"/>
    </xf>
    <xf numFmtId="168" fontId="16" fillId="0" borderId="0" xfId="2" applyNumberFormat="1" applyFont="1" applyBorder="1" applyAlignment="1" applyProtection="1">
      <alignment horizontal="center" vertical="top"/>
      <protection locked="0"/>
    </xf>
    <xf numFmtId="168" fontId="16" fillId="0" borderId="16" xfId="2" applyNumberFormat="1" applyFont="1" applyBorder="1" applyAlignment="1" applyProtection="1">
      <alignment horizontal="center" vertical="top"/>
      <protection locked="0"/>
    </xf>
    <xf numFmtId="165" fontId="8" fillId="2" borderId="0" xfId="0" applyNumberFormat="1" applyFont="1" applyFill="1" applyBorder="1" applyAlignment="1">
      <alignment shrinkToFit="1"/>
    </xf>
    <xf numFmtId="168" fontId="8" fillId="8" borderId="0" xfId="2" applyNumberFormat="1" applyFont="1" applyFill="1" applyBorder="1" applyAlignment="1" applyProtection="1">
      <alignment horizontal="center" vertical="top"/>
      <protection locked="0"/>
    </xf>
    <xf numFmtId="0" fontId="16" fillId="0" borderId="2" xfId="0" applyFont="1" applyBorder="1" applyAlignment="1" applyProtection="1">
      <alignment horizontal="left" vertical="top"/>
      <protection locked="0"/>
    </xf>
    <xf numFmtId="14" fontId="16" fillId="0" borderId="1" xfId="0" applyNumberFormat="1" applyFont="1" applyBorder="1" applyAlignment="1" applyProtection="1">
      <alignment vertical="top"/>
      <protection locked="0"/>
    </xf>
    <xf numFmtId="0" fontId="0" fillId="0" borderId="2" xfId="0" applyFill="1" applyBorder="1" applyAlignment="1" applyProtection="1">
      <alignment horizontal="left" vertical="top"/>
      <protection locked="0"/>
    </xf>
    <xf numFmtId="165" fontId="4" fillId="10" borderId="37" xfId="0" applyNumberFormat="1" applyFont="1" applyFill="1" applyBorder="1" applyAlignment="1">
      <alignment horizontal="center"/>
    </xf>
    <xf numFmtId="165" fontId="0" fillId="0" borderId="0" xfId="0" applyNumberFormat="1" applyFont="1" applyAlignment="1">
      <alignment horizontal="center"/>
    </xf>
    <xf numFmtId="167" fontId="0" fillId="2" borderId="35" xfId="0" applyNumberFormat="1" applyFill="1" applyBorder="1" applyAlignment="1" applyProtection="1"/>
    <xf numFmtId="167" fontId="0" fillId="2" borderId="34" xfId="0" applyNumberFormat="1" applyFill="1" applyBorder="1" applyAlignment="1" applyProtection="1"/>
    <xf numFmtId="167" fontId="0" fillId="2" borderId="59" xfId="0" applyNumberFormat="1" applyFill="1" applyBorder="1" applyAlignment="1" applyProtection="1"/>
    <xf numFmtId="16" fontId="3" fillId="2" borderId="1" xfId="0" applyNumberFormat="1" applyFont="1" applyFill="1" applyBorder="1" applyAlignment="1" applyProtection="1">
      <alignment horizontal="left" vertical="top" textRotation="90" wrapText="1"/>
    </xf>
    <xf numFmtId="167" fontId="3" fillId="2" borderId="1" xfId="0" applyNumberFormat="1" applyFont="1" applyFill="1" applyBorder="1" applyAlignment="1" applyProtection="1">
      <alignment horizontal="left" vertical="top" textRotation="90" wrapText="1"/>
    </xf>
    <xf numFmtId="167" fontId="3" fillId="2" borderId="33" xfId="0" applyNumberFormat="1" applyFont="1" applyFill="1" applyBorder="1" applyAlignment="1" applyProtection="1">
      <alignment horizontal="left" vertical="top" textRotation="90" wrapText="1"/>
    </xf>
    <xf numFmtId="167" fontId="14" fillId="2" borderId="33" xfId="0" applyNumberFormat="1" applyFont="1" applyFill="1" applyBorder="1" applyAlignment="1" applyProtection="1">
      <alignment horizontal="left" vertical="top" textRotation="90" wrapText="1"/>
    </xf>
    <xf numFmtId="0" fontId="8" fillId="0" borderId="39" xfId="2" applyFont="1" applyBorder="1" applyAlignment="1" applyProtection="1">
      <alignment horizontal="left" vertical="center"/>
      <protection locked="0"/>
    </xf>
    <xf numFmtId="0" fontId="8" fillId="0" borderId="40" xfId="2" applyFont="1" applyBorder="1" applyAlignment="1" applyProtection="1">
      <alignment horizontal="left" vertical="center"/>
      <protection locked="0"/>
    </xf>
    <xf numFmtId="49" fontId="8" fillId="0" borderId="40" xfId="2" applyNumberFormat="1" applyFont="1" applyBorder="1" applyAlignment="1" applyProtection="1">
      <alignment horizontal="left" vertical="center"/>
      <protection locked="0"/>
    </xf>
    <xf numFmtId="0" fontId="8" fillId="0" borderId="16" xfId="0" applyFont="1" applyBorder="1" applyAlignment="1">
      <alignment vertical="center"/>
    </xf>
    <xf numFmtId="0" fontId="8" fillId="0" borderId="36" xfId="2" applyFont="1" applyBorder="1" applyAlignment="1" applyProtection="1">
      <alignment horizontal="left" vertical="center"/>
      <protection locked="0"/>
    </xf>
    <xf numFmtId="0" fontId="8" fillId="0" borderId="31" xfId="2" applyFont="1" applyBorder="1" applyAlignment="1" applyProtection="1">
      <alignment horizontal="left" vertical="center"/>
      <protection locked="0"/>
    </xf>
    <xf numFmtId="0" fontId="8" fillId="0" borderId="0" xfId="0" applyFont="1" applyBorder="1" applyAlignment="1">
      <alignment vertical="center"/>
    </xf>
    <xf numFmtId="0" fontId="8" fillId="0" borderId="34" xfId="2" applyFont="1" applyBorder="1" applyAlignment="1" applyProtection="1">
      <alignment horizontal="left" vertical="center"/>
      <protection locked="0"/>
    </xf>
    <xf numFmtId="0" fontId="4" fillId="0" borderId="30" xfId="0" applyFont="1" applyBorder="1" applyAlignment="1" applyProtection="1">
      <alignment horizontal="left" vertical="center"/>
      <protection locked="0"/>
    </xf>
    <xf numFmtId="0" fontId="8" fillId="0" borderId="30" xfId="2" applyFont="1" applyBorder="1" applyAlignment="1" applyProtection="1">
      <alignment horizontal="left" vertical="center"/>
      <protection locked="0"/>
    </xf>
    <xf numFmtId="49" fontId="8" fillId="0" borderId="30" xfId="2" applyNumberFormat="1" applyFont="1" applyBorder="1" applyAlignment="1" applyProtection="1">
      <alignment horizontal="left" vertical="center"/>
      <protection locked="0"/>
    </xf>
    <xf numFmtId="0" fontId="8" fillId="0" borderId="16" xfId="2" applyFont="1" applyBorder="1" applyAlignment="1" applyProtection="1">
      <alignment horizontal="left" vertical="center"/>
      <protection locked="0"/>
    </xf>
    <xf numFmtId="0" fontId="8" fillId="0" borderId="0" xfId="2" applyFont="1" applyBorder="1" applyAlignment="1" applyProtection="1">
      <alignment horizontal="left" vertical="center"/>
      <protection locked="0"/>
    </xf>
    <xf numFmtId="0" fontId="4" fillId="0" borderId="31" xfId="0" applyFont="1" applyBorder="1" applyAlignment="1" applyProtection="1">
      <alignment horizontal="left" vertical="center"/>
      <protection locked="0"/>
    </xf>
    <xf numFmtId="0" fontId="8" fillId="0" borderId="17" xfId="2" applyFont="1" applyBorder="1" applyAlignment="1" applyProtection="1">
      <alignment horizontal="left" vertical="center"/>
      <protection locked="0"/>
    </xf>
    <xf numFmtId="0" fontId="8" fillId="0" borderId="18" xfId="2" applyFont="1" applyBorder="1" applyAlignment="1" applyProtection="1">
      <alignment horizontal="left" vertical="center"/>
      <protection locked="0"/>
    </xf>
    <xf numFmtId="0" fontId="8" fillId="0" borderId="19" xfId="2" applyFont="1" applyBorder="1" applyAlignment="1" applyProtection="1">
      <alignment horizontal="left" vertical="center"/>
      <protection locked="0"/>
    </xf>
    <xf numFmtId="0" fontId="0" fillId="0" borderId="19" xfId="0" applyBorder="1" applyAlignment="1" applyProtection="1">
      <alignment vertical="center"/>
      <protection locked="0"/>
    </xf>
    <xf numFmtId="0" fontId="0" fillId="0" borderId="18" xfId="0" applyNumberFormat="1" applyFont="1" applyFill="1" applyBorder="1" applyAlignment="1" applyProtection="1">
      <alignment vertical="center" shrinkToFit="1"/>
      <protection locked="0"/>
    </xf>
    <xf numFmtId="0" fontId="0" fillId="12" borderId="18" xfId="0" applyNumberFormat="1" applyFont="1" applyFill="1" applyBorder="1" applyAlignment="1" applyProtection="1">
      <alignment vertical="center" shrinkToFit="1"/>
      <protection locked="0"/>
    </xf>
    <xf numFmtId="0" fontId="0" fillId="13" borderId="18" xfId="0" applyNumberFormat="1" applyFont="1" applyFill="1" applyBorder="1" applyAlignment="1" applyProtection="1">
      <alignment vertical="center" shrinkToFit="1"/>
      <protection locked="0"/>
    </xf>
    <xf numFmtId="0" fontId="8" fillId="0" borderId="18" xfId="0" applyFont="1" applyBorder="1" applyAlignment="1">
      <alignment vertical="center"/>
    </xf>
    <xf numFmtId="168" fontId="0" fillId="12" borderId="18" xfId="0" applyNumberFormat="1" applyFont="1" applyFill="1" applyBorder="1" applyAlignment="1" applyProtection="1">
      <alignment vertical="center" shrinkToFit="1"/>
      <protection locked="0"/>
    </xf>
    <xf numFmtId="168" fontId="0" fillId="0" borderId="18" xfId="0" applyNumberFormat="1" applyFont="1" applyFill="1" applyBorder="1" applyAlignment="1" applyProtection="1">
      <alignment vertical="center" shrinkToFit="1"/>
      <protection locked="0"/>
    </xf>
    <xf numFmtId="0" fontId="16" fillId="0" borderId="0" xfId="2" applyFont="1" applyBorder="1" applyAlignment="1" applyProtection="1">
      <alignment horizontal="left" vertical="center"/>
      <protection locked="0"/>
    </xf>
    <xf numFmtId="0" fontId="16" fillId="0" borderId="30" xfId="2" applyFont="1" applyBorder="1" applyAlignment="1" applyProtection="1">
      <alignment horizontal="left" vertical="center"/>
      <protection locked="0"/>
    </xf>
    <xf numFmtId="49" fontId="16" fillId="0" borderId="30" xfId="2" applyNumberFormat="1" applyFont="1" applyBorder="1" applyAlignment="1" applyProtection="1">
      <alignment horizontal="left" vertical="center"/>
      <protection locked="0"/>
    </xf>
    <xf numFmtId="0" fontId="16" fillId="0" borderId="0" xfId="0" applyFont="1" applyBorder="1" applyAlignment="1">
      <alignment vertical="center"/>
    </xf>
    <xf numFmtId="168" fontId="13" fillId="0" borderId="0" xfId="0" applyNumberFormat="1" applyFont="1" applyFill="1" applyBorder="1" applyAlignment="1">
      <alignment vertical="top"/>
    </xf>
    <xf numFmtId="0" fontId="16" fillId="0" borderId="16" xfId="0" applyFont="1" applyBorder="1" applyAlignment="1">
      <alignment vertical="center"/>
    </xf>
    <xf numFmtId="0" fontId="16" fillId="0" borderId="31" xfId="2" applyFont="1" applyBorder="1" applyAlignment="1" applyProtection="1">
      <alignment horizontal="left" vertical="center"/>
      <protection locked="0"/>
    </xf>
    <xf numFmtId="168" fontId="13" fillId="14" borderId="0" xfId="0" applyNumberFormat="1" applyFont="1" applyFill="1" applyBorder="1" applyAlignment="1">
      <alignment vertical="top"/>
    </xf>
    <xf numFmtId="168" fontId="13" fillId="15" borderId="0" xfId="0" applyNumberFormat="1" applyFont="1" applyFill="1" applyBorder="1" applyAlignment="1" applyProtection="1">
      <alignment vertical="top"/>
      <protection locked="0"/>
    </xf>
    <xf numFmtId="165" fontId="8" fillId="0" borderId="0" xfId="0" applyNumberFormat="1" applyFont="1" applyFill="1"/>
    <xf numFmtId="49" fontId="8" fillId="0" borderId="0" xfId="0" applyNumberFormat="1" applyFont="1"/>
    <xf numFmtId="165" fontId="0" fillId="2" borderId="0" xfId="0" applyNumberFormat="1" applyFont="1" applyFill="1" applyBorder="1" applyAlignment="1">
      <alignment vertical="center" shrinkToFit="1"/>
    </xf>
    <xf numFmtId="165" fontId="8" fillId="2" borderId="0" xfId="0" applyNumberFormat="1" applyFont="1" applyFill="1" applyBorder="1" applyAlignment="1">
      <alignment vertical="center" shrinkToFit="1"/>
    </xf>
    <xf numFmtId="0" fontId="7" fillId="0" borderId="0" xfId="0" applyNumberFormat="1" applyFont="1" applyFill="1"/>
    <xf numFmtId="0" fontId="8" fillId="0" borderId="0" xfId="0" applyNumberFormat="1" applyFont="1"/>
    <xf numFmtId="0" fontId="8" fillId="0" borderId="0" xfId="2" applyFont="1" applyBorder="1" applyAlignment="1">
      <alignment horizontal="left" vertical="center"/>
    </xf>
    <xf numFmtId="49" fontId="8" fillId="0" borderId="0" xfId="2" applyNumberFormat="1" applyFont="1" applyBorder="1" applyAlignment="1">
      <alignment horizontal="left" vertical="center"/>
    </xf>
    <xf numFmtId="168" fontId="8" fillId="0" borderId="0" xfId="2" applyNumberFormat="1" applyFont="1" applyBorder="1" applyAlignment="1">
      <alignment horizontal="left" vertical="center"/>
    </xf>
    <xf numFmtId="0" fontId="8" fillId="0" borderId="0" xfId="0" applyFont="1" applyAlignment="1">
      <alignment vertical="center"/>
    </xf>
    <xf numFmtId="168" fontId="8" fillId="0" borderId="0" xfId="0" applyNumberFormat="1" applyFont="1" applyAlignment="1">
      <alignment horizontal="center" vertical="center"/>
    </xf>
    <xf numFmtId="165" fontId="4" fillId="0" borderId="53" xfId="0" applyNumberFormat="1" applyFont="1" applyBorder="1" applyAlignment="1">
      <alignment horizontal="right" vertical="center"/>
    </xf>
    <xf numFmtId="0" fontId="4" fillId="0" borderId="28" xfId="0" applyNumberFormat="1" applyFont="1" applyFill="1" applyBorder="1" applyAlignment="1">
      <alignment vertical="center"/>
    </xf>
    <xf numFmtId="0" fontId="4" fillId="0" borderId="54" xfId="0" applyNumberFormat="1" applyFont="1" applyFill="1" applyBorder="1" applyAlignment="1">
      <alignment vertical="center"/>
    </xf>
    <xf numFmtId="168" fontId="7" fillId="0" borderId="0" xfId="0" applyNumberFormat="1" applyFont="1" applyFill="1" applyAlignment="1" applyProtection="1">
      <alignment vertical="center"/>
    </xf>
    <xf numFmtId="0" fontId="7" fillId="0" borderId="0" xfId="0" applyNumberFormat="1" applyFont="1" applyFill="1" applyAlignment="1" applyProtection="1">
      <alignment vertical="center"/>
    </xf>
    <xf numFmtId="165" fontId="4" fillId="0" borderId="55" xfId="0" applyNumberFormat="1" applyFont="1" applyBorder="1" applyAlignment="1">
      <alignment horizontal="right" vertical="center"/>
    </xf>
    <xf numFmtId="0" fontId="4" fillId="0" borderId="0" xfId="0" applyNumberFormat="1" applyFont="1" applyFill="1" applyBorder="1" applyAlignment="1">
      <alignment vertical="center"/>
    </xf>
    <xf numFmtId="0" fontId="4" fillId="0" borderId="56" xfId="0" applyNumberFormat="1" applyFont="1" applyFill="1" applyBorder="1" applyAlignment="1">
      <alignment vertical="center"/>
    </xf>
    <xf numFmtId="0" fontId="4" fillId="17" borderId="0" xfId="0" applyFont="1" applyFill="1" applyAlignment="1">
      <alignment vertical="center"/>
    </xf>
    <xf numFmtId="168" fontId="7" fillId="0" borderId="0" xfId="0" applyNumberFormat="1" applyFont="1" applyAlignment="1" applyProtection="1">
      <alignment vertical="center"/>
    </xf>
    <xf numFmtId="0" fontId="8" fillId="0" borderId="0" xfId="0" applyNumberFormat="1" applyFont="1" applyFill="1"/>
    <xf numFmtId="165" fontId="7" fillId="0" borderId="57" xfId="0" applyNumberFormat="1" applyFont="1" applyBorder="1" applyAlignment="1">
      <alignment horizontal="right" vertical="center"/>
    </xf>
    <xf numFmtId="0" fontId="7" fillId="0" borderId="16" xfId="0" applyNumberFormat="1" applyFont="1" applyBorder="1" applyAlignment="1">
      <alignment vertical="center"/>
    </xf>
    <xf numFmtId="0" fontId="7" fillId="0" borderId="58" xfId="0" applyNumberFormat="1" applyFont="1" applyBorder="1" applyAlignment="1">
      <alignment vertical="center"/>
    </xf>
    <xf numFmtId="0" fontId="8" fillId="0" borderId="0" xfId="0" applyNumberFormat="1" applyFont="1" applyFill="1" applyAlignment="1" applyProtection="1">
      <alignment vertical="center"/>
    </xf>
    <xf numFmtId="168" fontId="8" fillId="0" borderId="0" xfId="0" applyNumberFormat="1" applyFont="1" applyFill="1" applyAlignment="1" applyProtection="1">
      <alignment vertical="center"/>
    </xf>
    <xf numFmtId="0" fontId="18" fillId="0" borderId="60" xfId="0" applyNumberFormat="1" applyFont="1" applyBorder="1" applyAlignment="1" applyProtection="1">
      <alignment horizontal="center" vertical="top"/>
      <protection locked="0"/>
    </xf>
    <xf numFmtId="0" fontId="19" fillId="0" borderId="60" xfId="0" applyNumberFormat="1" applyFont="1" applyBorder="1" applyAlignment="1" applyProtection="1">
      <alignment horizontal="center" vertical="top"/>
      <protection locked="0"/>
    </xf>
    <xf numFmtId="0" fontId="4" fillId="0" borderId="17" xfId="0" applyFont="1" applyFill="1" applyBorder="1" applyAlignment="1" applyProtection="1">
      <alignment horizontal="left" vertical="top"/>
      <protection locked="0"/>
    </xf>
    <xf numFmtId="0" fontId="18" fillId="0" borderId="61" xfId="0" applyNumberFormat="1" applyFont="1" applyBorder="1" applyAlignment="1" applyProtection="1">
      <alignment horizontal="center" vertical="top"/>
      <protection locked="0"/>
    </xf>
    <xf numFmtId="0" fontId="18" fillId="0" borderId="62" xfId="0" applyNumberFormat="1" applyFont="1" applyBorder="1" applyAlignment="1" applyProtection="1">
      <alignment horizontal="center" vertical="top"/>
      <protection locked="0"/>
    </xf>
    <xf numFmtId="0" fontId="3" fillId="11" borderId="1" xfId="0" applyFont="1" applyFill="1" applyBorder="1" applyAlignment="1" applyProtection="1">
      <alignment horizontal="center" vertical="center" wrapText="1"/>
      <protection locked="0"/>
    </xf>
    <xf numFmtId="0" fontId="0" fillId="0" borderId="1" xfId="0" quotePrefix="1" applyFont="1" applyFill="1" applyBorder="1" applyAlignment="1" applyProtection="1">
      <alignment vertical="top"/>
      <protection locked="0"/>
    </xf>
    <xf numFmtId="0" fontId="18" fillId="0" borderId="64" xfId="0" applyNumberFormat="1" applyFont="1" applyBorder="1" applyAlignment="1" applyProtection="1">
      <alignment horizontal="center" vertical="top"/>
      <protection locked="0"/>
    </xf>
    <xf numFmtId="0" fontId="18" fillId="0" borderId="63" xfId="0" applyNumberFormat="1" applyFont="1" applyBorder="1" applyAlignment="1" applyProtection="1">
      <alignment horizontal="center" vertical="top"/>
      <protection locked="0"/>
    </xf>
    <xf numFmtId="0" fontId="0" fillId="4" borderId="18" xfId="0" applyNumberFormat="1" applyFont="1" applyFill="1" applyBorder="1" applyAlignment="1" applyProtection="1">
      <alignment vertical="center" shrinkToFit="1"/>
      <protection locked="0"/>
    </xf>
    <xf numFmtId="167" fontId="23" fillId="2" borderId="35" xfId="0" applyNumberFormat="1" applyFont="1" applyFill="1" applyBorder="1" applyAlignment="1" applyProtection="1">
      <protection locked="0"/>
    </xf>
    <xf numFmtId="0" fontId="0" fillId="0" borderId="0" xfId="0" applyFont="1" applyFill="1" applyBorder="1" applyAlignment="1" applyProtection="1">
      <alignment horizontal="left" vertical="top" wrapText="1"/>
      <protection locked="0"/>
    </xf>
    <xf numFmtId="0" fontId="0" fillId="0" borderId="16"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protection locked="0"/>
    </xf>
    <xf numFmtId="0" fontId="21" fillId="0" borderId="0" xfId="0" applyFont="1" applyFill="1" applyBorder="1" applyAlignment="1" applyProtection="1">
      <alignment horizontal="left" vertical="top"/>
      <protection locked="0"/>
    </xf>
    <xf numFmtId="0" fontId="0" fillId="0" borderId="0" xfId="0" applyFont="1" applyFill="1" applyBorder="1" applyAlignment="1" applyProtection="1">
      <alignment horizontal="left" vertical="top"/>
      <protection locked="0"/>
    </xf>
    <xf numFmtId="0" fontId="16" fillId="0" borderId="0" xfId="0" applyFont="1" applyFill="1" applyBorder="1" applyAlignment="1" applyProtection="1">
      <alignment horizontal="left" vertical="top"/>
      <protection locked="0"/>
    </xf>
    <xf numFmtId="0" fontId="16" fillId="0" borderId="16" xfId="0" applyFont="1" applyFill="1" applyBorder="1" applyAlignment="1" applyProtection="1">
      <alignment horizontal="left" vertical="top"/>
      <protection locked="0"/>
    </xf>
    <xf numFmtId="168" fontId="6" fillId="0" borderId="0" xfId="2" applyNumberFormat="1" applyFont="1" applyBorder="1" applyAlignment="1" applyProtection="1">
      <alignment horizontal="center" vertical="top"/>
      <protection locked="0"/>
    </xf>
    <xf numFmtId="0" fontId="0" fillId="0" borderId="17" xfId="0" applyBorder="1" applyAlignment="1" applyProtection="1">
      <alignment horizontal="left" vertical="top"/>
      <protection locked="0"/>
    </xf>
    <xf numFmtId="0" fontId="8" fillId="0" borderId="0" xfId="0" applyFont="1" applyBorder="1" applyAlignment="1">
      <alignment wrapText="1"/>
    </xf>
    <xf numFmtId="0" fontId="18" fillId="0" borderId="65" xfId="0" applyNumberFormat="1" applyFont="1" applyBorder="1" applyAlignment="1" applyProtection="1">
      <alignment horizontal="center" vertical="top"/>
      <protection locked="0"/>
    </xf>
    <xf numFmtId="14" fontId="8" fillId="0" borderId="66" xfId="0" applyNumberFormat="1" applyFont="1" applyBorder="1" applyAlignment="1" applyProtection="1">
      <alignment vertical="top"/>
      <protection locked="0"/>
    </xf>
    <xf numFmtId="14" fontId="0" fillId="0" borderId="66" xfId="0" applyNumberFormat="1" applyFont="1" applyBorder="1" applyAlignment="1" applyProtection="1">
      <alignment vertical="top"/>
      <protection locked="0"/>
    </xf>
    <xf numFmtId="0" fontId="18" fillId="0" borderId="67" xfId="0" applyNumberFormat="1" applyFont="1" applyBorder="1" applyAlignment="1" applyProtection="1">
      <alignment horizontal="center" vertical="top"/>
      <protection locked="0"/>
    </xf>
    <xf numFmtId="0" fontId="18" fillId="0" borderId="68" xfId="0" applyNumberFormat="1" applyFont="1" applyBorder="1" applyAlignment="1" applyProtection="1">
      <alignment horizontal="center" vertical="top"/>
      <protection locked="0"/>
    </xf>
    <xf numFmtId="0" fontId="0" fillId="8" borderId="17" xfId="0" applyFont="1" applyFill="1" applyBorder="1" applyAlignment="1" applyProtection="1">
      <alignment horizontal="left" vertical="top"/>
      <protection locked="0"/>
    </xf>
    <xf numFmtId="165" fontId="0" fillId="2" borderId="0" xfId="0" applyNumberFormat="1" applyFont="1" applyFill="1" applyBorder="1" applyAlignment="1">
      <alignment horizontal="left" vertical="top"/>
    </xf>
    <xf numFmtId="0" fontId="8" fillId="0" borderId="16" xfId="0" applyFont="1" applyFill="1" applyBorder="1" applyAlignment="1" applyProtection="1">
      <alignment horizontal="left" vertical="top"/>
      <protection locked="0"/>
    </xf>
    <xf numFmtId="0" fontId="0" fillId="0" borderId="17" xfId="0" applyFill="1" applyBorder="1" applyAlignment="1" applyProtection="1">
      <alignment horizontal="left" vertical="top"/>
      <protection locked="0"/>
    </xf>
    <xf numFmtId="49" fontId="8" fillId="0" borderId="17" xfId="0" quotePrefix="1" applyNumberFormat="1" applyFont="1" applyFill="1" applyBorder="1" applyAlignment="1" applyProtection="1">
      <alignment horizontal="left" vertical="top"/>
      <protection locked="0"/>
    </xf>
    <xf numFmtId="0" fontId="0" fillId="0" borderId="16" xfId="0" applyFont="1" applyBorder="1" applyAlignment="1">
      <alignment horizontal="left" vertical="top"/>
    </xf>
    <xf numFmtId="0" fontId="8" fillId="0" borderId="16" xfId="0" applyFont="1" applyBorder="1" applyAlignment="1">
      <alignment horizontal="left" vertical="top"/>
    </xf>
    <xf numFmtId="168" fontId="8" fillId="0" borderId="16" xfId="2" applyNumberFormat="1" applyFont="1" applyBorder="1" applyAlignment="1" applyProtection="1">
      <alignment horizontal="left" vertical="top"/>
      <protection locked="0"/>
    </xf>
    <xf numFmtId="14" fontId="8" fillId="0" borderId="17" xfId="0" applyNumberFormat="1" applyFont="1" applyFill="1" applyBorder="1" applyAlignment="1" applyProtection="1">
      <alignment horizontal="left" vertical="top"/>
      <protection locked="0"/>
    </xf>
    <xf numFmtId="14" fontId="8" fillId="0" borderId="17" xfId="0" applyNumberFormat="1" applyFont="1" applyBorder="1" applyAlignment="1" applyProtection="1">
      <alignment horizontal="left" vertical="top"/>
      <protection locked="0"/>
    </xf>
    <xf numFmtId="0" fontId="18" fillId="0" borderId="41" xfId="0" applyNumberFormat="1" applyFont="1" applyBorder="1" applyAlignment="1" applyProtection="1">
      <alignment horizontal="left" vertical="top"/>
      <protection locked="0"/>
    </xf>
    <xf numFmtId="0" fontId="18" fillId="0" borderId="42" xfId="0" applyNumberFormat="1" applyFont="1" applyBorder="1" applyAlignment="1" applyProtection="1">
      <alignment horizontal="left" vertical="top"/>
      <protection locked="0"/>
    </xf>
    <xf numFmtId="0" fontId="18" fillId="0" borderId="43" xfId="0" applyNumberFormat="1" applyFont="1" applyBorder="1" applyAlignment="1" applyProtection="1">
      <alignment horizontal="left" vertical="top"/>
      <protection locked="0"/>
    </xf>
    <xf numFmtId="0" fontId="18" fillId="0" borderId="45" xfId="0" applyNumberFormat="1" applyFont="1" applyBorder="1" applyAlignment="1" applyProtection="1">
      <alignment horizontal="left" vertical="top"/>
      <protection locked="0"/>
    </xf>
    <xf numFmtId="168" fontId="11" fillId="7" borderId="2" xfId="0" applyNumberFormat="1" applyFont="1" applyFill="1" applyBorder="1" applyAlignment="1" applyProtection="1">
      <alignment horizontal="center"/>
    </xf>
    <xf numFmtId="168" fontId="3" fillId="7" borderId="27" xfId="0" applyNumberFormat="1" applyFont="1" applyFill="1" applyBorder="1" applyAlignment="1" applyProtection="1">
      <alignment horizontal="center" vertical="top" textRotation="90" wrapText="1"/>
    </xf>
    <xf numFmtId="168" fontId="0" fillId="2" borderId="0" xfId="0" applyNumberFormat="1" applyFont="1" applyFill="1" applyBorder="1" applyAlignment="1" applyProtection="1">
      <alignment horizontal="center" shrinkToFit="1"/>
    </xf>
    <xf numFmtId="168" fontId="7" fillId="0" borderId="0" xfId="0" applyNumberFormat="1" applyFont="1" applyAlignment="1" applyProtection="1">
      <alignment horizontal="center"/>
    </xf>
    <xf numFmtId="168" fontId="8" fillId="0" borderId="0" xfId="0" applyNumberFormat="1" applyFont="1" applyAlignment="1" applyProtection="1">
      <alignment horizontal="center"/>
    </xf>
    <xf numFmtId="0" fontId="3" fillId="2" borderId="1" xfId="0" applyFont="1" applyFill="1" applyBorder="1" applyAlignment="1" applyProtection="1">
      <alignment horizontal="left" vertical="top"/>
      <protection locked="0"/>
    </xf>
    <xf numFmtId="168" fontId="0" fillId="0" borderId="0" xfId="0" applyNumberFormat="1" applyFont="1" applyProtection="1"/>
    <xf numFmtId="1" fontId="16" fillId="0" borderId="0" xfId="0" applyNumberFormat="1" applyFont="1" applyBorder="1" applyAlignment="1" applyProtection="1">
      <alignment horizontal="center" vertical="top"/>
      <protection locked="0"/>
    </xf>
    <xf numFmtId="0" fontId="6" fillId="0" borderId="16" xfId="0" applyFont="1" applyFill="1" applyBorder="1" applyAlignment="1" applyProtection="1">
      <alignment horizontal="left" vertical="top"/>
      <protection locked="0"/>
    </xf>
    <xf numFmtId="0" fontId="26" fillId="0" borderId="0" xfId="0" applyFont="1" applyFill="1" applyBorder="1" applyAlignment="1" applyProtection="1">
      <alignment horizontal="left" vertical="top"/>
      <protection locked="0"/>
    </xf>
    <xf numFmtId="0" fontId="18" fillId="0" borderId="69" xfId="0" applyNumberFormat="1" applyFont="1" applyBorder="1" applyAlignment="1" applyProtection="1">
      <alignment horizontal="center" vertical="top"/>
      <protection locked="0"/>
    </xf>
    <xf numFmtId="0" fontId="18" fillId="0" borderId="70" xfId="0" applyNumberFormat="1" applyFont="1" applyBorder="1" applyAlignment="1" applyProtection="1">
      <alignment horizontal="center" vertical="top"/>
      <protection locked="0"/>
    </xf>
    <xf numFmtId="0" fontId="18" fillId="0" borderId="50" xfId="0" applyNumberFormat="1" applyFont="1" applyFill="1" applyBorder="1" applyAlignment="1" applyProtection="1">
      <alignment horizontal="center" vertical="top"/>
      <protection locked="0"/>
    </xf>
    <xf numFmtId="0" fontId="18" fillId="0" borderId="51" xfId="0" applyNumberFormat="1" applyFont="1" applyFill="1" applyBorder="1" applyAlignment="1" applyProtection="1">
      <alignment horizontal="center" vertical="top"/>
      <protection locked="0"/>
    </xf>
    <xf numFmtId="49" fontId="0" fillId="0" borderId="19" xfId="0" quotePrefix="1" applyNumberFormat="1" applyFont="1" applyFill="1" applyBorder="1" applyAlignment="1" applyProtection="1">
      <alignment vertical="top"/>
      <protection locked="0"/>
    </xf>
    <xf numFmtId="0" fontId="16" fillId="0" borderId="1" xfId="0" applyFont="1" applyBorder="1" applyAlignment="1">
      <alignment vertical="top"/>
    </xf>
    <xf numFmtId="0" fontId="16" fillId="0" borderId="0" xfId="0" applyFont="1" applyBorder="1" applyAlignment="1">
      <alignment vertical="top"/>
    </xf>
    <xf numFmtId="0" fontId="0" fillId="8" borderId="0" xfId="0" applyFont="1" applyFill="1" applyAlignment="1" applyProtection="1">
      <alignment horizontal="left" vertical="top"/>
      <protection locked="0"/>
    </xf>
    <xf numFmtId="164" fontId="11" fillId="4" borderId="8" xfId="0" applyNumberFormat="1" applyFont="1" applyFill="1" applyBorder="1" applyAlignment="1" applyProtection="1">
      <alignment horizontal="left" vertical="top"/>
      <protection locked="0"/>
    </xf>
    <xf numFmtId="0" fontId="0" fillId="0" borderId="1" xfId="0" applyBorder="1" applyAlignment="1" applyProtection="1">
      <alignment horizontal="left" vertical="top"/>
      <protection locked="0"/>
    </xf>
    <xf numFmtId="0" fontId="0" fillId="0" borderId="19" xfId="0" applyBorder="1" applyAlignment="1" applyProtection="1">
      <alignment horizontal="left" vertical="top"/>
      <protection locked="0"/>
    </xf>
    <xf numFmtId="0" fontId="0" fillId="0"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left" vertical="top"/>
    </xf>
    <xf numFmtId="0" fontId="0" fillId="0" borderId="0" xfId="0" applyFont="1" applyFill="1" applyBorder="1" applyAlignment="1">
      <alignment horizontal="left" vertical="top"/>
    </xf>
    <xf numFmtId="0" fontId="8" fillId="0" borderId="0" xfId="0" applyFont="1" applyAlignment="1">
      <alignment horizontal="left" vertical="top"/>
    </xf>
    <xf numFmtId="0" fontId="0" fillId="0" borderId="1" xfId="0" applyFill="1" applyBorder="1" applyAlignment="1">
      <alignment horizontal="left" vertical="top"/>
    </xf>
    <xf numFmtId="3" fontId="0" fillId="0" borderId="1" xfId="0" applyNumberFormat="1" applyBorder="1" applyAlignment="1" applyProtection="1">
      <alignment horizontal="left" vertical="top"/>
      <protection locked="0"/>
    </xf>
    <xf numFmtId="0" fontId="0" fillId="8" borderId="0" xfId="0" applyFont="1" applyFill="1" applyAlignment="1" applyProtection="1">
      <alignment horizontal="center"/>
    </xf>
    <xf numFmtId="0" fontId="11" fillId="2" borderId="1" xfId="0" applyFont="1" applyFill="1" applyBorder="1" applyProtection="1"/>
    <xf numFmtId="0" fontId="0" fillId="0" borderId="17" xfId="0" applyBorder="1" applyAlignment="1" applyProtection="1">
      <alignment vertical="top"/>
    </xf>
    <xf numFmtId="0" fontId="0" fillId="0" borderId="1" xfId="0" applyBorder="1" applyAlignment="1" applyProtection="1">
      <alignment vertical="top"/>
    </xf>
    <xf numFmtId="165" fontId="0" fillId="2" borderId="0" xfId="0" applyNumberFormat="1" applyFont="1" applyFill="1" applyBorder="1" applyAlignment="1" applyProtection="1">
      <alignment shrinkToFit="1"/>
    </xf>
    <xf numFmtId="0" fontId="8" fillId="0" borderId="0" xfId="0" applyFont="1" applyProtection="1"/>
    <xf numFmtId="0" fontId="0" fillId="0" borderId="1" xfId="0" applyFill="1" applyBorder="1" applyAlignment="1" applyProtection="1">
      <alignment vertical="top"/>
    </xf>
    <xf numFmtId="0" fontId="8" fillId="0" borderId="0" xfId="0" applyFont="1" applyBorder="1" applyAlignment="1"/>
    <xf numFmtId="0" fontId="0" fillId="0" borderId="0" xfId="0" applyAlignment="1">
      <alignment vertical="top"/>
    </xf>
    <xf numFmtId="0" fontId="0" fillId="0" borderId="1" xfId="0" quotePrefix="1" applyBorder="1" applyAlignment="1">
      <alignment vertical="top"/>
    </xf>
    <xf numFmtId="0" fontId="0" fillId="0" borderId="2" xfId="0" applyBorder="1" applyAlignment="1">
      <alignment vertical="top"/>
    </xf>
    <xf numFmtId="0" fontId="4" fillId="8" borderId="0" xfId="0" applyFont="1" applyFill="1" applyBorder="1" applyAlignment="1" applyProtection="1">
      <alignment horizontal="left" vertical="top"/>
      <protection locked="0"/>
    </xf>
    <xf numFmtId="0" fontId="3" fillId="0" borderId="0" xfId="0" applyFont="1" applyFill="1" applyBorder="1" applyAlignment="1" applyProtection="1">
      <alignment horizontal="left" vertical="top"/>
      <protection locked="0"/>
    </xf>
    <xf numFmtId="0" fontId="6" fillId="0" borderId="0" xfId="0" applyFont="1" applyFill="1" applyBorder="1" applyAlignment="1" applyProtection="1">
      <alignment horizontal="left" vertical="top"/>
      <protection locked="0"/>
    </xf>
    <xf numFmtId="0" fontId="6" fillId="0" borderId="18" xfId="0" applyFont="1" applyFill="1" applyBorder="1" applyAlignment="1" applyProtection="1">
      <alignment horizontal="left" vertical="top"/>
      <protection locked="0"/>
    </xf>
    <xf numFmtId="0" fontId="8" fillId="0" borderId="0" xfId="0" applyFont="1" applyFill="1" applyBorder="1" applyAlignment="1">
      <alignment horizontal="left" vertical="top"/>
    </xf>
    <xf numFmtId="0" fontId="0" fillId="0" borderId="0" xfId="0" applyFill="1" applyAlignment="1">
      <alignment horizontal="left" vertical="top"/>
    </xf>
    <xf numFmtId="0" fontId="20" fillId="0" borderId="0" xfId="0" applyFont="1" applyFill="1" applyAlignment="1">
      <alignment horizontal="left" vertical="top"/>
    </xf>
    <xf numFmtId="0" fontId="4" fillId="0" borderId="18" xfId="0" applyFont="1" applyFill="1" applyBorder="1" applyAlignment="1" applyProtection="1">
      <alignment vertical="top"/>
      <protection locked="0"/>
    </xf>
    <xf numFmtId="49" fontId="10" fillId="0" borderId="33" xfId="2" applyNumberFormat="1" applyFont="1" applyBorder="1" applyAlignment="1" applyProtection="1">
      <alignment horizontal="left"/>
      <protection locked="0"/>
    </xf>
    <xf numFmtId="165" fontId="4" fillId="10" borderId="0" xfId="0" applyNumberFormat="1" applyFont="1" applyFill="1" applyBorder="1" applyAlignment="1" applyProtection="1">
      <alignment horizontal="center"/>
      <protection locked="0"/>
    </xf>
    <xf numFmtId="0" fontId="0" fillId="8" borderId="0" xfId="0" applyFont="1" applyFill="1" applyBorder="1" applyAlignment="1" applyProtection="1">
      <alignment horizontal="left" vertical="top"/>
      <protection locked="0"/>
    </xf>
    <xf numFmtId="0" fontId="0" fillId="0" borderId="16" xfId="0" applyFont="1" applyFill="1" applyBorder="1" applyAlignment="1" applyProtection="1">
      <alignment horizontal="left" vertical="top" wrapText="1"/>
      <protection locked="0"/>
    </xf>
    <xf numFmtId="0" fontId="0" fillId="0" borderId="18" xfId="0" applyFont="1" applyFill="1" applyBorder="1" applyAlignment="1" applyProtection="1">
      <alignment horizontal="left" vertical="top"/>
      <protection locked="0"/>
    </xf>
    <xf numFmtId="0" fontId="0" fillId="0" borderId="18" xfId="0" applyFont="1" applyFill="1" applyBorder="1" applyAlignment="1" applyProtection="1">
      <alignment horizontal="left" vertical="top" wrapText="1"/>
      <protection locked="0"/>
    </xf>
    <xf numFmtId="0" fontId="0" fillId="0" borderId="28" xfId="0" applyFont="1" applyFill="1" applyBorder="1" applyAlignment="1" applyProtection="1">
      <alignment horizontal="left" vertical="top" wrapText="1"/>
      <protection locked="0"/>
    </xf>
    <xf numFmtId="0" fontId="0" fillId="0" borderId="0" xfId="0" applyFont="1" applyFill="1" applyAlignment="1">
      <alignment horizontal="left" vertical="top"/>
    </xf>
    <xf numFmtId="0" fontId="32" fillId="0" borderId="0" xfId="0" applyFont="1" applyFill="1" applyAlignment="1">
      <alignment horizontal="left" vertical="top"/>
    </xf>
    <xf numFmtId="0" fontId="0" fillId="0" borderId="19" xfId="0" applyFont="1" applyBorder="1" applyAlignment="1" applyProtection="1">
      <alignment horizontal="center" vertical="top"/>
      <protection locked="0"/>
    </xf>
    <xf numFmtId="0" fontId="33" fillId="0" borderId="18" xfId="0" applyFont="1" applyBorder="1" applyAlignment="1" applyProtection="1">
      <alignment vertical="center"/>
      <protection locked="0"/>
    </xf>
    <xf numFmtId="49" fontId="0" fillId="0" borderId="1" xfId="0" quotePrefix="1" applyNumberFormat="1" applyBorder="1" applyAlignment="1">
      <alignment vertical="top"/>
    </xf>
    <xf numFmtId="16" fontId="3" fillId="2" borderId="1" xfId="0" applyNumberFormat="1" applyFont="1" applyFill="1" applyBorder="1" applyAlignment="1" applyProtection="1">
      <alignment horizontal="left" vertical="top" textRotation="90" wrapText="1"/>
      <protection locked="0"/>
    </xf>
    <xf numFmtId="167" fontId="3" fillId="2" borderId="33" xfId="0" applyNumberFormat="1" applyFont="1" applyFill="1" applyBorder="1" applyAlignment="1" applyProtection="1">
      <alignment horizontal="left" vertical="top" textRotation="90" wrapText="1"/>
      <protection locked="0"/>
    </xf>
    <xf numFmtId="167" fontId="14" fillId="2" borderId="33" xfId="0" applyNumberFormat="1" applyFont="1" applyFill="1" applyBorder="1" applyAlignment="1" applyProtection="1">
      <alignment horizontal="left" vertical="top" textRotation="90" wrapText="1"/>
      <protection locked="0"/>
    </xf>
    <xf numFmtId="168" fontId="3" fillId="2" borderId="33" xfId="0" applyNumberFormat="1" applyFont="1" applyFill="1" applyBorder="1" applyAlignment="1" applyProtection="1">
      <alignment horizontal="left" vertical="top" textRotation="90" wrapText="1"/>
    </xf>
    <xf numFmtId="168" fontId="8" fillId="0" borderId="59" xfId="2" applyNumberFormat="1" applyFont="1" applyBorder="1" applyAlignment="1" applyProtection="1">
      <alignment horizontal="center" vertical="top"/>
      <protection locked="0"/>
    </xf>
    <xf numFmtId="0" fontId="4" fillId="0" borderId="59" xfId="0" applyFont="1" applyFill="1" applyBorder="1" applyAlignment="1" applyProtection="1">
      <alignment vertical="top"/>
      <protection locked="0"/>
    </xf>
    <xf numFmtId="168" fontId="0" fillId="0" borderId="34" xfId="0" applyNumberFormat="1" applyBorder="1" applyAlignment="1" applyProtection="1">
      <alignment horizontal="center" vertical="top"/>
      <protection locked="0"/>
    </xf>
    <xf numFmtId="49" fontId="8" fillId="0" borderId="30" xfId="0" quotePrefix="1" applyNumberFormat="1" applyFont="1" applyFill="1" applyBorder="1" applyAlignment="1" applyProtection="1">
      <alignment vertical="top"/>
      <protection locked="0"/>
    </xf>
    <xf numFmtId="0" fontId="33" fillId="0" borderId="59" xfId="0" applyFont="1" applyBorder="1" applyAlignment="1" applyProtection="1">
      <alignment vertical="center"/>
      <protection locked="0"/>
    </xf>
    <xf numFmtId="0" fontId="0" fillId="0" borderId="30" xfId="0" applyBorder="1" applyAlignment="1" applyProtection="1">
      <alignment vertical="center"/>
      <protection locked="0"/>
    </xf>
    <xf numFmtId="0" fontId="0" fillId="0" borderId="30" xfId="0" applyBorder="1" applyAlignment="1" applyProtection="1">
      <alignment vertical="top"/>
      <protection locked="0"/>
    </xf>
    <xf numFmtId="0" fontId="0" fillId="0" borderId="34" xfId="0" applyBorder="1" applyAlignment="1" applyProtection="1">
      <alignment horizontal="left" vertical="top"/>
      <protection locked="0"/>
    </xf>
    <xf numFmtId="14" fontId="8" fillId="0" borderId="30" xfId="0" applyNumberFormat="1" applyFont="1" applyFill="1" applyBorder="1" applyAlignment="1" applyProtection="1">
      <alignment vertical="top"/>
      <protection locked="0"/>
    </xf>
    <xf numFmtId="0" fontId="0" fillId="12" borderId="59" xfId="0" applyNumberFormat="1" applyFont="1" applyFill="1" applyBorder="1" applyAlignment="1" applyProtection="1">
      <alignment vertical="center" shrinkToFit="1"/>
      <protection locked="0"/>
    </xf>
    <xf numFmtId="168" fontId="0" fillId="12" borderId="59" xfId="0" applyNumberFormat="1" applyFont="1" applyFill="1" applyBorder="1" applyAlignment="1" applyProtection="1">
      <alignment vertical="center" shrinkToFit="1"/>
      <protection locked="0"/>
    </xf>
    <xf numFmtId="168" fontId="0" fillId="0" borderId="59" xfId="0" applyNumberFormat="1" applyFont="1" applyFill="1" applyBorder="1" applyAlignment="1" applyProtection="1">
      <alignment vertical="center" shrinkToFit="1"/>
      <protection locked="0"/>
    </xf>
    <xf numFmtId="168" fontId="0" fillId="12" borderId="30" xfId="0" applyNumberFormat="1" applyFill="1" applyBorder="1" applyAlignment="1" applyProtection="1">
      <alignment horizontal="center" vertical="top"/>
    </xf>
    <xf numFmtId="168" fontId="0" fillId="12" borderId="30" xfId="0" applyNumberFormat="1" applyFill="1" applyBorder="1" applyAlignment="1" applyProtection="1">
      <alignment vertical="top"/>
    </xf>
    <xf numFmtId="168" fontId="0" fillId="0" borderId="34" xfId="0" applyNumberFormat="1" applyFill="1" applyBorder="1" applyAlignment="1" applyProtection="1">
      <alignment horizontal="center" vertical="top"/>
      <protection locked="0"/>
    </xf>
    <xf numFmtId="168" fontId="0" fillId="16" borderId="34" xfId="0" applyNumberFormat="1" applyFill="1" applyBorder="1" applyAlignment="1" applyProtection="1">
      <alignment horizontal="center" vertical="top" wrapText="1"/>
      <protection locked="0"/>
    </xf>
    <xf numFmtId="0" fontId="0" fillId="0" borderId="30" xfId="0" applyFill="1" applyBorder="1" applyAlignment="1" applyProtection="1">
      <alignment vertical="center"/>
      <protection locked="0"/>
    </xf>
    <xf numFmtId="0" fontId="0" fillId="0" borderId="59" xfId="0" applyNumberFormat="1" applyFont="1" applyFill="1" applyBorder="1" applyAlignment="1" applyProtection="1">
      <alignment vertical="center" shrinkToFit="1"/>
      <protection locked="0"/>
    </xf>
    <xf numFmtId="0" fontId="0" fillId="13" borderId="59" xfId="0" applyNumberFormat="1" applyFont="1" applyFill="1" applyBorder="1" applyAlignment="1" applyProtection="1">
      <alignment vertical="center" shrinkToFit="1"/>
      <protection locked="0"/>
    </xf>
    <xf numFmtId="0" fontId="4" fillId="4" borderId="59" xfId="0" applyNumberFormat="1" applyFont="1" applyFill="1" applyBorder="1" applyAlignment="1" applyProtection="1">
      <alignment vertical="center" shrinkToFit="1"/>
      <protection locked="0"/>
    </xf>
    <xf numFmtId="168" fontId="15" fillId="13" borderId="59" xfId="0" applyNumberFormat="1" applyFont="1" applyFill="1" applyBorder="1" applyAlignment="1" applyProtection="1">
      <alignment vertical="center" shrinkToFit="1"/>
      <protection locked="0"/>
    </xf>
    <xf numFmtId="168" fontId="0" fillId="0" borderId="30" xfId="0" applyNumberFormat="1" applyFill="1" applyBorder="1" applyAlignment="1" applyProtection="1">
      <alignment horizontal="center" vertical="top"/>
    </xf>
    <xf numFmtId="49" fontId="33" fillId="0" borderId="30" xfId="0" quotePrefix="1" applyNumberFormat="1" applyFont="1" applyFill="1" applyBorder="1" applyAlignment="1" applyProtection="1">
      <alignment vertical="center"/>
      <protection locked="0"/>
    </xf>
    <xf numFmtId="0" fontId="8" fillId="0" borderId="30" xfId="0" applyFont="1" applyBorder="1" applyAlignment="1" applyProtection="1">
      <alignment vertical="top"/>
      <protection locked="0"/>
    </xf>
    <xf numFmtId="14" fontId="8" fillId="0" borderId="30" xfId="0" applyNumberFormat="1" applyFont="1" applyBorder="1" applyAlignment="1" applyProtection="1">
      <alignment vertical="top"/>
      <protection locked="0"/>
    </xf>
    <xf numFmtId="165" fontId="8" fillId="12" borderId="59" xfId="0" applyNumberFormat="1" applyFont="1" applyFill="1" applyBorder="1" applyAlignment="1">
      <alignment vertical="center"/>
    </xf>
    <xf numFmtId="168" fontId="15" fillId="12" borderId="59" xfId="0" applyNumberFormat="1" applyFont="1" applyFill="1" applyBorder="1" applyAlignment="1" applyProtection="1">
      <alignment vertical="center" shrinkToFit="1"/>
      <protection locked="0"/>
    </xf>
    <xf numFmtId="168" fontId="4" fillId="12" borderId="30" xfId="0" applyNumberFormat="1" applyFont="1" applyFill="1" applyBorder="1" applyAlignment="1" applyProtection="1">
      <alignment horizontal="center" vertical="top"/>
    </xf>
    <xf numFmtId="0" fontId="8" fillId="0" borderId="59" xfId="0" applyFont="1" applyBorder="1" applyAlignment="1">
      <alignment vertical="center"/>
    </xf>
    <xf numFmtId="0" fontId="0" fillId="4" borderId="59" xfId="0" applyNumberFormat="1" applyFont="1" applyFill="1" applyBorder="1" applyAlignment="1" applyProtection="1">
      <alignment vertical="center" shrinkToFit="1"/>
      <protection locked="0"/>
    </xf>
    <xf numFmtId="168" fontId="0" fillId="16" borderId="34" xfId="0" applyNumberFormat="1" applyFill="1" applyBorder="1" applyAlignment="1" applyProtection="1">
      <alignment horizontal="center" vertical="top"/>
      <protection locked="0"/>
    </xf>
    <xf numFmtId="0" fontId="8" fillId="0" borderId="30" xfId="0" quotePrefix="1" applyFont="1" applyFill="1" applyBorder="1" applyAlignment="1" applyProtection="1">
      <alignment vertical="top"/>
      <protection locked="0"/>
    </xf>
    <xf numFmtId="0" fontId="33" fillId="0" borderId="30" xfId="0" applyFont="1" applyFill="1" applyBorder="1" applyAlignment="1" applyProtection="1">
      <alignment vertical="center"/>
      <protection locked="0"/>
    </xf>
    <xf numFmtId="166" fontId="8" fillId="0" borderId="30" xfId="0" applyNumberFormat="1" applyFont="1" applyBorder="1" applyAlignment="1" applyProtection="1">
      <alignment vertical="top"/>
      <protection locked="0"/>
    </xf>
    <xf numFmtId="168" fontId="0" fillId="12" borderId="30" xfId="0" applyNumberFormat="1" applyFont="1" applyFill="1" applyBorder="1" applyAlignment="1" applyProtection="1">
      <alignment horizontal="center" vertical="top"/>
    </xf>
    <xf numFmtId="0" fontId="8" fillId="0" borderId="30" xfId="0" applyFont="1" applyFill="1" applyBorder="1" applyAlignment="1" applyProtection="1">
      <alignment vertical="top"/>
      <protection locked="0"/>
    </xf>
    <xf numFmtId="3" fontId="0" fillId="0" borderId="30" xfId="0" applyNumberFormat="1" applyBorder="1" applyAlignment="1" applyProtection="1">
      <alignment vertical="center"/>
      <protection locked="0"/>
    </xf>
    <xf numFmtId="0" fontId="8" fillId="0" borderId="30" xfId="0" applyFont="1" applyBorder="1" applyAlignment="1" applyProtection="1">
      <alignment horizontal="center" vertical="top"/>
      <protection locked="0"/>
    </xf>
    <xf numFmtId="0" fontId="0" fillId="0" borderId="30" xfId="0" applyFont="1" applyBorder="1" applyAlignment="1" applyProtection="1">
      <alignment horizontal="left" vertical="top"/>
      <protection locked="0"/>
    </xf>
    <xf numFmtId="168" fontId="0" fillId="0" borderId="30" xfId="0" applyNumberFormat="1" applyBorder="1" applyAlignment="1" applyProtection="1">
      <alignment vertical="top"/>
    </xf>
    <xf numFmtId="168" fontId="15" fillId="0" borderId="59" xfId="0" applyNumberFormat="1" applyFont="1" applyFill="1" applyBorder="1" applyAlignment="1" applyProtection="1">
      <alignment vertical="center" shrinkToFit="1"/>
      <protection locked="0"/>
    </xf>
    <xf numFmtId="168" fontId="0" fillId="0" borderId="30" xfId="0" applyNumberFormat="1" applyBorder="1" applyAlignment="1" applyProtection="1">
      <alignment horizontal="center" vertical="top"/>
    </xf>
    <xf numFmtId="0" fontId="8" fillId="0" borderId="59" xfId="0" applyFont="1" applyBorder="1" applyAlignment="1" applyProtection="1">
      <alignment vertical="top"/>
      <protection locked="0"/>
    </xf>
    <xf numFmtId="0" fontId="8" fillId="0" borderId="59" xfId="0" applyFont="1" applyFill="1" applyBorder="1" applyAlignment="1" applyProtection="1">
      <alignment vertical="top"/>
      <protection locked="0"/>
    </xf>
    <xf numFmtId="168" fontId="0" fillId="8" borderId="30" xfId="0" applyNumberFormat="1" applyFill="1" applyBorder="1" applyAlignment="1" applyProtection="1">
      <alignment horizontal="center" vertical="top"/>
    </xf>
    <xf numFmtId="168" fontId="0" fillId="8" borderId="30" xfId="0" applyNumberFormat="1" applyFill="1" applyBorder="1" applyAlignment="1" applyProtection="1">
      <alignment vertical="top"/>
    </xf>
    <xf numFmtId="49" fontId="8" fillId="0" borderId="30" xfId="0" applyNumberFormat="1" applyFont="1" applyFill="1" applyBorder="1" applyAlignment="1" applyProtection="1">
      <alignment vertical="top"/>
      <protection locked="0"/>
    </xf>
    <xf numFmtId="168" fontId="5" fillId="8" borderId="30" xfId="1" applyNumberFormat="1" applyFont="1" applyFill="1" applyBorder="1" applyAlignment="1" applyProtection="1">
      <alignment horizontal="center" vertical="top" wrapText="1"/>
    </xf>
    <xf numFmtId="165" fontId="8" fillId="0" borderId="59" xfId="0" applyNumberFormat="1" applyFont="1" applyFill="1" applyBorder="1" applyAlignment="1">
      <alignment vertical="center"/>
    </xf>
    <xf numFmtId="168" fontId="0" fillId="13" borderId="30" xfId="0" applyNumberFormat="1" applyFill="1" applyBorder="1" applyAlignment="1" applyProtection="1">
      <alignment horizontal="center" vertical="top"/>
    </xf>
    <xf numFmtId="168" fontId="0" fillId="8" borderId="30" xfId="0" applyNumberFormat="1" applyFont="1" applyFill="1" applyBorder="1" applyAlignment="1" applyProtection="1">
      <alignment horizontal="center" vertical="top"/>
    </xf>
    <xf numFmtId="0" fontId="0" fillId="9" borderId="30" xfId="0" applyFill="1" applyBorder="1" applyAlignment="1" applyProtection="1">
      <alignment vertical="center"/>
      <protection locked="0"/>
    </xf>
    <xf numFmtId="0" fontId="8" fillId="12" borderId="59" xfId="0" applyNumberFormat="1" applyFont="1" applyFill="1" applyBorder="1" applyAlignment="1" applyProtection="1">
      <alignment vertical="center"/>
      <protection locked="0"/>
    </xf>
    <xf numFmtId="0" fontId="17" fillId="0" borderId="30" xfId="0" applyFont="1" applyFill="1" applyBorder="1" applyAlignment="1" applyProtection="1">
      <alignment horizontal="left" vertical="center"/>
      <protection locked="0"/>
    </xf>
    <xf numFmtId="165" fontId="8" fillId="0" borderId="59" xfId="0" applyNumberFormat="1" applyFont="1" applyBorder="1" applyAlignment="1">
      <alignment vertical="center"/>
    </xf>
    <xf numFmtId="165" fontId="0" fillId="0" borderId="59" xfId="0" applyNumberFormat="1" applyFont="1" applyBorder="1" applyAlignment="1">
      <alignment vertical="center"/>
    </xf>
    <xf numFmtId="165" fontId="0" fillId="4" borderId="59" xfId="0" applyNumberFormat="1" applyFont="1" applyFill="1" applyBorder="1" applyAlignment="1">
      <alignment vertical="center"/>
    </xf>
    <xf numFmtId="168" fontId="15" fillId="13" borderId="59" xfId="0" applyNumberFormat="1" applyFont="1" applyFill="1" applyBorder="1" applyAlignment="1" applyProtection="1">
      <alignment horizontal="center" vertical="center" shrinkToFit="1"/>
      <protection locked="0"/>
    </xf>
    <xf numFmtId="168" fontId="4" fillId="8" borderId="30" xfId="0" applyNumberFormat="1" applyFont="1" applyFill="1" applyBorder="1" applyAlignment="1" applyProtection="1">
      <alignment horizontal="center" vertical="top"/>
    </xf>
    <xf numFmtId="168" fontId="4" fillId="0" borderId="30" xfId="0" applyNumberFormat="1" applyFont="1" applyBorder="1" applyAlignment="1" applyProtection="1">
      <alignment horizontal="center" vertical="top"/>
    </xf>
    <xf numFmtId="0" fontId="33" fillId="0" borderId="30" xfId="0" quotePrefix="1" applyFont="1" applyFill="1" applyBorder="1" applyAlignment="1" applyProtection="1">
      <alignment vertical="center"/>
      <protection locked="0"/>
    </xf>
    <xf numFmtId="165" fontId="0" fillId="13" borderId="59" xfId="0" applyNumberFormat="1" applyFont="1" applyFill="1" applyBorder="1" applyAlignment="1" applyProtection="1">
      <alignment vertical="center" shrinkToFit="1"/>
      <protection locked="0"/>
    </xf>
    <xf numFmtId="165" fontId="0" fillId="13" borderId="59" xfId="0" applyNumberFormat="1" applyFont="1" applyFill="1" applyBorder="1" applyAlignment="1">
      <alignment vertical="center"/>
    </xf>
    <xf numFmtId="165" fontId="0" fillId="0" borderId="59" xfId="0" applyNumberFormat="1" applyFont="1" applyFill="1" applyBorder="1" applyAlignment="1">
      <alignment vertical="center"/>
    </xf>
    <xf numFmtId="168" fontId="16" fillId="0" borderId="59" xfId="2" applyNumberFormat="1" applyFont="1" applyBorder="1" applyAlignment="1" applyProtection="1">
      <alignment horizontal="center" vertical="top"/>
      <protection locked="0"/>
    </xf>
    <xf numFmtId="0" fontId="16" fillId="0" borderId="59" xfId="0" applyFont="1" applyFill="1" applyBorder="1" applyAlignment="1" applyProtection="1">
      <alignment vertical="top"/>
      <protection locked="0"/>
    </xf>
    <xf numFmtId="168" fontId="16" fillId="0" borderId="34" xfId="0" applyNumberFormat="1" applyFont="1" applyFill="1" applyBorder="1" applyAlignment="1" applyProtection="1">
      <alignment horizontal="center" vertical="top"/>
      <protection locked="0"/>
    </xf>
    <xf numFmtId="49" fontId="16" fillId="0" borderId="30" xfId="0" quotePrefix="1" applyNumberFormat="1" applyFont="1" applyFill="1" applyBorder="1" applyAlignment="1" applyProtection="1">
      <alignment vertical="top"/>
      <protection locked="0"/>
    </xf>
    <xf numFmtId="49" fontId="34" fillId="0" borderId="30" xfId="0" quotePrefix="1" applyNumberFormat="1" applyFont="1" applyFill="1" applyBorder="1" applyAlignment="1" applyProtection="1">
      <alignment vertical="center"/>
      <protection locked="0"/>
    </xf>
    <xf numFmtId="0" fontId="16" fillId="0" borderId="30" xfId="0" applyFont="1" applyFill="1" applyBorder="1" applyAlignment="1" applyProtection="1">
      <alignment horizontal="left" vertical="center"/>
      <protection locked="0"/>
    </xf>
    <xf numFmtId="0" fontId="16" fillId="0" borderId="30" xfId="0" applyFont="1" applyFill="1" applyBorder="1" applyAlignment="1" applyProtection="1">
      <alignment vertical="top"/>
      <protection locked="0"/>
    </xf>
    <xf numFmtId="0" fontId="16" fillId="12" borderId="59" xfId="0" applyNumberFormat="1" applyFont="1" applyFill="1" applyBorder="1" applyAlignment="1" applyProtection="1">
      <alignment vertical="center" shrinkToFit="1"/>
      <protection locked="0"/>
    </xf>
    <xf numFmtId="168" fontId="16" fillId="12" borderId="59" xfId="0" applyNumberFormat="1" applyFont="1" applyFill="1" applyBorder="1" applyAlignment="1" applyProtection="1">
      <alignment vertical="center" shrinkToFit="1"/>
      <protection locked="0"/>
    </xf>
    <xf numFmtId="168" fontId="16" fillId="12" borderId="30" xfId="0" applyNumberFormat="1" applyFont="1" applyFill="1" applyBorder="1" applyAlignment="1" applyProtection="1">
      <alignment horizontal="center" vertical="top"/>
    </xf>
    <xf numFmtId="168" fontId="16" fillId="12" borderId="30" xfId="0" applyNumberFormat="1" applyFont="1" applyFill="1" applyBorder="1" applyAlignment="1" applyProtection="1">
      <alignment vertical="top"/>
    </xf>
    <xf numFmtId="0" fontId="16" fillId="0" borderId="30" xfId="0" applyFont="1" applyBorder="1" applyAlignment="1" applyProtection="1">
      <alignment vertical="top"/>
      <protection locked="0"/>
    </xf>
    <xf numFmtId="0" fontId="0" fillId="14" borderId="59" xfId="0" applyNumberFormat="1" applyFont="1" applyFill="1" applyBorder="1" applyAlignment="1" applyProtection="1">
      <alignment vertical="center" shrinkToFit="1"/>
      <protection locked="0"/>
    </xf>
    <xf numFmtId="168" fontId="0" fillId="14" borderId="59" xfId="0" applyNumberFormat="1" applyFont="1" applyFill="1" applyBorder="1" applyAlignment="1" applyProtection="1">
      <alignment vertical="center" shrinkToFit="1"/>
      <protection locked="0"/>
    </xf>
    <xf numFmtId="0" fontId="16" fillId="0" borderId="30" xfId="0" applyFont="1" applyBorder="1" applyAlignment="1" applyProtection="1">
      <alignment vertical="center"/>
      <protection locked="0"/>
    </xf>
    <xf numFmtId="49" fontId="0" fillId="0" borderId="30" xfId="0" quotePrefix="1" applyNumberFormat="1" applyFont="1" applyFill="1" applyBorder="1" applyAlignment="1" applyProtection="1">
      <alignment vertical="top"/>
      <protection locked="0"/>
    </xf>
    <xf numFmtId="168" fontId="0" fillId="15" borderId="30" xfId="0" applyNumberFormat="1" applyFill="1" applyBorder="1" applyAlignment="1" applyProtection="1">
      <alignment horizontal="center" vertical="top"/>
    </xf>
    <xf numFmtId="49" fontId="33" fillId="0" borderId="30" xfId="0" applyNumberFormat="1" applyFont="1" applyFill="1" applyBorder="1" applyAlignment="1" applyProtection="1">
      <alignment vertical="center"/>
      <protection locked="0"/>
    </xf>
    <xf numFmtId="168" fontId="0" fillId="0" borderId="59" xfId="0" applyNumberFormat="1" applyFont="1" applyFill="1" applyBorder="1" applyAlignment="1" applyProtection="1">
      <alignment vertical="center"/>
      <protection locked="0"/>
    </xf>
    <xf numFmtId="168" fontId="0" fillId="0" borderId="59" xfId="2" applyNumberFormat="1" applyFont="1" applyBorder="1" applyAlignment="1" applyProtection="1">
      <alignment horizontal="center" vertical="top"/>
      <protection locked="0"/>
    </xf>
    <xf numFmtId="0" fontId="0" fillId="0" borderId="30" xfId="0" quotePrefix="1" applyFill="1" applyBorder="1" applyAlignment="1" applyProtection="1">
      <alignment vertical="top"/>
      <protection locked="0"/>
    </xf>
    <xf numFmtId="0" fontId="0" fillId="0" borderId="30" xfId="0" applyFont="1" applyFill="1" applyBorder="1" applyAlignment="1">
      <alignment vertical="center"/>
    </xf>
    <xf numFmtId="0" fontId="16" fillId="0" borderId="30" xfId="0" quotePrefix="1" applyFont="1" applyFill="1" applyBorder="1" applyAlignment="1" applyProtection="1">
      <alignment vertical="top"/>
      <protection locked="0"/>
    </xf>
    <xf numFmtId="0" fontId="29" fillId="0" borderId="30" xfId="0" applyFont="1" applyBorder="1" applyAlignment="1" applyProtection="1">
      <alignment vertical="center"/>
      <protection locked="0"/>
    </xf>
    <xf numFmtId="0" fontId="29" fillId="0" borderId="30" xfId="0" applyFont="1" applyBorder="1" applyAlignment="1" applyProtection="1">
      <alignment vertical="top"/>
      <protection locked="0"/>
    </xf>
    <xf numFmtId="0" fontId="29" fillId="0" borderId="34" xfId="0" applyFont="1" applyBorder="1" applyAlignment="1" applyProtection="1">
      <alignment horizontal="left" vertical="top"/>
      <protection locked="0"/>
    </xf>
    <xf numFmtId="0" fontId="29" fillId="12" borderId="59" xfId="0" applyNumberFormat="1" applyFont="1" applyFill="1" applyBorder="1" applyAlignment="1" applyProtection="1">
      <alignment vertical="center" shrinkToFit="1"/>
      <protection locked="0"/>
    </xf>
    <xf numFmtId="168" fontId="29" fillId="12" borderId="59" xfId="0" applyNumberFormat="1" applyFont="1" applyFill="1" applyBorder="1" applyAlignment="1" applyProtection="1">
      <alignment vertical="center"/>
      <protection locked="0"/>
    </xf>
    <xf numFmtId="168" fontId="29" fillId="12" borderId="59" xfId="0" applyNumberFormat="1" applyFont="1" applyFill="1" applyBorder="1" applyAlignment="1" applyProtection="1">
      <alignment vertical="center" shrinkToFit="1"/>
      <protection locked="0"/>
    </xf>
    <xf numFmtId="168" fontId="29" fillId="12" borderId="30" xfId="0" applyNumberFormat="1" applyFont="1" applyFill="1" applyBorder="1" applyAlignment="1" applyProtection="1">
      <alignment horizontal="center" vertical="top"/>
    </xf>
    <xf numFmtId="168" fontId="29" fillId="12" borderId="30" xfId="0" applyNumberFormat="1" applyFont="1" applyFill="1" applyBorder="1" applyAlignment="1" applyProtection="1">
      <alignment vertical="top"/>
    </xf>
    <xf numFmtId="0" fontId="0" fillId="0" borderId="30" xfId="0" applyBorder="1" applyAlignment="1">
      <alignment vertical="top"/>
    </xf>
    <xf numFmtId="0" fontId="30" fillId="0" borderId="30" xfId="0" applyFont="1" applyBorder="1" applyAlignment="1">
      <alignment vertical="center"/>
    </xf>
    <xf numFmtId="0" fontId="0" fillId="0" borderId="59" xfId="0" applyBorder="1" applyAlignment="1">
      <alignment vertical="center"/>
    </xf>
    <xf numFmtId="0" fontId="0" fillId="0" borderId="30" xfId="0" applyBorder="1"/>
    <xf numFmtId="0" fontId="0" fillId="0" borderId="34" xfId="0" applyFill="1" applyBorder="1" applyAlignment="1" applyProtection="1">
      <alignment horizontal="left" vertical="top"/>
      <protection locked="0"/>
    </xf>
    <xf numFmtId="168" fontId="0" fillId="8" borderId="30" xfId="0" applyNumberFormat="1" applyFill="1" applyBorder="1"/>
    <xf numFmtId="168" fontId="16" fillId="12" borderId="59" xfId="0" applyNumberFormat="1" applyFont="1" applyFill="1" applyBorder="1" applyAlignment="1" applyProtection="1">
      <alignment vertical="center"/>
      <protection locked="0"/>
    </xf>
    <xf numFmtId="168" fontId="0" fillId="12" borderId="59" xfId="0" applyNumberFormat="1" applyFont="1" applyFill="1" applyBorder="1" applyAlignment="1" applyProtection="1">
      <alignment vertical="center"/>
      <protection locked="0"/>
    </xf>
    <xf numFmtId="168" fontId="8" fillId="0" borderId="71" xfId="2" applyNumberFormat="1" applyFont="1" applyBorder="1" applyAlignment="1" applyProtection="1">
      <alignment horizontal="center" vertical="top"/>
      <protection locked="0"/>
    </xf>
    <xf numFmtId="0" fontId="4" fillId="0" borderId="71" xfId="0" applyFont="1" applyFill="1" applyBorder="1" applyAlignment="1" applyProtection="1">
      <alignment vertical="top"/>
      <protection locked="0"/>
    </xf>
    <xf numFmtId="168" fontId="0" fillId="0" borderId="39" xfId="0" applyNumberFormat="1" applyBorder="1" applyAlignment="1" applyProtection="1">
      <alignment horizontal="center" vertical="top"/>
      <protection locked="0"/>
    </xf>
    <xf numFmtId="49" fontId="8" fillId="0" borderId="40" xfId="0" quotePrefix="1" applyNumberFormat="1" applyFont="1" applyFill="1" applyBorder="1" applyAlignment="1" applyProtection="1">
      <alignment vertical="top"/>
      <protection locked="0"/>
    </xf>
    <xf numFmtId="0" fontId="33" fillId="0" borderId="71" xfId="0" applyFont="1" applyBorder="1" applyAlignment="1" applyProtection="1">
      <alignment vertical="center"/>
      <protection locked="0"/>
    </xf>
    <xf numFmtId="0" fontId="0" fillId="0" borderId="40" xfId="0" applyBorder="1" applyAlignment="1" applyProtection="1">
      <alignment vertical="center"/>
      <protection locked="0"/>
    </xf>
    <xf numFmtId="0" fontId="0" fillId="0" borderId="40" xfId="0" applyBorder="1" applyAlignment="1" applyProtection="1">
      <alignment vertical="top"/>
      <protection locked="0"/>
    </xf>
    <xf numFmtId="0" fontId="0" fillId="0" borderId="39" xfId="0" applyBorder="1" applyAlignment="1" applyProtection="1">
      <alignment horizontal="left" vertical="top"/>
      <protection locked="0"/>
    </xf>
    <xf numFmtId="14" fontId="8" fillId="0" borderId="40" xfId="0" applyNumberFormat="1" applyFont="1" applyFill="1" applyBorder="1" applyAlignment="1" applyProtection="1">
      <alignment vertical="top"/>
      <protection locked="0"/>
    </xf>
    <xf numFmtId="0" fontId="0" fillId="12" borderId="71" xfId="0" applyNumberFormat="1" applyFont="1" applyFill="1" applyBorder="1" applyAlignment="1" applyProtection="1">
      <alignment vertical="center" shrinkToFit="1"/>
      <protection locked="0"/>
    </xf>
    <xf numFmtId="168" fontId="0" fillId="12" borderId="71" xfId="0" applyNumberFormat="1" applyFont="1" applyFill="1" applyBorder="1" applyAlignment="1" applyProtection="1">
      <alignment vertical="center" shrinkToFit="1"/>
      <protection locked="0"/>
    </xf>
    <xf numFmtId="168" fontId="0" fillId="0" borderId="71" xfId="0" applyNumberFormat="1" applyFont="1" applyFill="1" applyBorder="1" applyAlignment="1" applyProtection="1">
      <alignment vertical="center" shrinkToFit="1"/>
      <protection locked="0"/>
    </xf>
    <xf numFmtId="168" fontId="0" fillId="12" borderId="40" xfId="0" applyNumberFormat="1" applyFill="1" applyBorder="1" applyAlignment="1" applyProtection="1">
      <alignment horizontal="center" vertical="top"/>
    </xf>
    <xf numFmtId="168" fontId="0" fillId="12" borderId="40" xfId="0" applyNumberFormat="1" applyFill="1" applyBorder="1" applyAlignment="1" applyProtection="1">
      <alignment vertical="top"/>
    </xf>
    <xf numFmtId="0" fontId="8" fillId="0" borderId="72" xfId="2" applyFont="1" applyBorder="1" applyAlignment="1" applyProtection="1">
      <alignment horizontal="left" vertical="center"/>
      <protection locked="0"/>
    </xf>
    <xf numFmtId="168" fontId="8" fillId="0" borderId="73" xfId="2" applyNumberFormat="1" applyFont="1" applyBorder="1" applyAlignment="1" applyProtection="1">
      <alignment horizontal="center" vertical="top"/>
      <protection locked="0"/>
    </xf>
    <xf numFmtId="0" fontId="4" fillId="0" borderId="73" xfId="0" applyFont="1" applyFill="1" applyBorder="1" applyAlignment="1" applyProtection="1">
      <alignment vertical="top"/>
      <protection locked="0"/>
    </xf>
    <xf numFmtId="168" fontId="0" fillId="0" borderId="74" xfId="0" applyNumberFormat="1" applyFill="1" applyBorder="1" applyAlignment="1" applyProtection="1">
      <alignment horizontal="center" vertical="top"/>
      <protection locked="0"/>
    </xf>
    <xf numFmtId="49" fontId="8" fillId="0" borderId="72" xfId="0" quotePrefix="1" applyNumberFormat="1" applyFont="1" applyFill="1" applyBorder="1" applyAlignment="1" applyProtection="1">
      <alignment vertical="top"/>
      <protection locked="0"/>
    </xf>
    <xf numFmtId="0" fontId="33" fillId="0" borderId="72" xfId="0" applyFont="1" applyBorder="1" applyAlignment="1" applyProtection="1">
      <alignment vertical="center"/>
      <protection locked="0"/>
    </xf>
    <xf numFmtId="0" fontId="0" fillId="0" borderId="72" xfId="0" applyFill="1" applyBorder="1" applyAlignment="1" applyProtection="1">
      <alignment horizontal="left" vertical="center"/>
      <protection locked="0"/>
    </xf>
    <xf numFmtId="0" fontId="0" fillId="0" borderId="72" xfId="0" applyBorder="1" applyAlignment="1" applyProtection="1">
      <alignment vertical="top"/>
      <protection locked="0"/>
    </xf>
    <xf numFmtId="0" fontId="0" fillId="0" borderId="74" xfId="0" applyBorder="1" applyAlignment="1" applyProtection="1">
      <alignment horizontal="left" vertical="top"/>
      <protection locked="0"/>
    </xf>
    <xf numFmtId="14" fontId="8" fillId="0" borderId="72" xfId="0" applyNumberFormat="1" applyFont="1" applyFill="1" applyBorder="1" applyAlignment="1" applyProtection="1">
      <alignment vertical="top"/>
      <protection locked="0"/>
    </xf>
    <xf numFmtId="0" fontId="0" fillId="12" borderId="73" xfId="0" applyNumberFormat="1" applyFont="1" applyFill="1" applyBorder="1" applyAlignment="1" applyProtection="1">
      <alignment vertical="center" shrinkToFit="1"/>
      <protection locked="0"/>
    </xf>
    <xf numFmtId="168" fontId="0" fillId="12" borderId="73" xfId="0" applyNumberFormat="1" applyFont="1" applyFill="1" applyBorder="1" applyAlignment="1" applyProtection="1">
      <alignment vertical="center" shrinkToFit="1"/>
      <protection locked="0"/>
    </xf>
    <xf numFmtId="168" fontId="0" fillId="0" borderId="73" xfId="0" applyNumberFormat="1" applyFont="1" applyFill="1" applyBorder="1" applyAlignment="1" applyProtection="1">
      <alignment vertical="center" shrinkToFit="1"/>
      <protection locked="0"/>
    </xf>
    <xf numFmtId="168" fontId="0" fillId="12" borderId="72" xfId="0" applyNumberFormat="1" applyFill="1" applyBorder="1" applyAlignment="1" applyProtection="1">
      <alignment horizontal="center" vertical="top"/>
    </xf>
    <xf numFmtId="168" fontId="0" fillId="12" borderId="72" xfId="0" applyNumberFormat="1" applyFill="1" applyBorder="1" applyAlignment="1" applyProtection="1">
      <alignment vertical="top"/>
    </xf>
    <xf numFmtId="168" fontId="0" fillId="0" borderId="39" xfId="0" applyNumberFormat="1" applyFill="1" applyBorder="1" applyAlignment="1" applyProtection="1">
      <alignment horizontal="center" vertical="top"/>
      <protection locked="0"/>
    </xf>
    <xf numFmtId="0" fontId="0" fillId="0" borderId="40" xfId="0" applyFill="1" applyBorder="1" applyAlignment="1" applyProtection="1">
      <alignment vertical="center"/>
      <protection locked="0"/>
    </xf>
    <xf numFmtId="14" fontId="8" fillId="0" borderId="40" xfId="0" applyNumberFormat="1" applyFont="1" applyBorder="1" applyAlignment="1" applyProtection="1">
      <alignment vertical="top" wrapText="1"/>
      <protection locked="0"/>
    </xf>
    <xf numFmtId="14" fontId="8" fillId="0" borderId="40" xfId="0" applyNumberFormat="1" applyFont="1" applyBorder="1" applyAlignment="1" applyProtection="1">
      <alignment vertical="top"/>
      <protection locked="0"/>
    </xf>
    <xf numFmtId="0" fontId="0" fillId="0" borderId="71" xfId="0" applyNumberFormat="1" applyFont="1" applyFill="1" applyBorder="1" applyAlignment="1" applyProtection="1">
      <alignment vertical="center" shrinkToFit="1"/>
      <protection locked="0"/>
    </xf>
    <xf numFmtId="0" fontId="8" fillId="0" borderId="71" xfId="0" applyFont="1" applyBorder="1" applyAlignment="1">
      <alignment vertical="center"/>
    </xf>
    <xf numFmtId="0" fontId="0" fillId="0" borderId="71" xfId="0" applyFont="1" applyBorder="1" applyAlignment="1" applyProtection="1">
      <alignment vertical="center" shrinkToFit="1"/>
      <protection locked="0"/>
    </xf>
    <xf numFmtId="0" fontId="0" fillId="4" borderId="71" xfId="0" applyNumberFormat="1" applyFont="1" applyFill="1" applyBorder="1" applyAlignment="1" applyProtection="1">
      <alignment vertical="center" shrinkToFit="1"/>
      <protection locked="0"/>
    </xf>
    <xf numFmtId="49" fontId="8" fillId="0" borderId="72" xfId="2" applyNumberFormat="1" applyFont="1" applyBorder="1" applyAlignment="1" applyProtection="1">
      <alignment horizontal="left" vertical="center"/>
      <protection locked="0"/>
    </xf>
    <xf numFmtId="168" fontId="0" fillId="16" borderId="74" xfId="0" applyNumberFormat="1" applyFill="1" applyBorder="1" applyAlignment="1" applyProtection="1">
      <alignment horizontal="center" vertical="top"/>
      <protection locked="0"/>
    </xf>
    <xf numFmtId="0" fontId="8" fillId="0" borderId="72" xfId="0" quotePrefix="1" applyFont="1" applyFill="1" applyBorder="1" applyAlignment="1" applyProtection="1">
      <alignment vertical="top"/>
      <protection locked="0"/>
    </xf>
    <xf numFmtId="0" fontId="33" fillId="0" borderId="72" xfId="0" applyFont="1" applyFill="1" applyBorder="1" applyAlignment="1" applyProtection="1">
      <alignment vertical="center"/>
      <protection locked="0"/>
    </xf>
    <xf numFmtId="0" fontId="0" fillId="0" borderId="72" xfId="0" applyFill="1" applyBorder="1" applyAlignment="1" applyProtection="1">
      <alignment vertical="center"/>
      <protection locked="0"/>
    </xf>
    <xf numFmtId="14" fontId="8" fillId="0" borderId="72" xfId="0" applyNumberFormat="1" applyFont="1" applyBorder="1" applyAlignment="1" applyProtection="1">
      <alignment vertical="top"/>
      <protection locked="0"/>
    </xf>
    <xf numFmtId="166" fontId="8" fillId="0" borderId="72" xfId="0" applyNumberFormat="1" applyFont="1" applyBorder="1" applyAlignment="1" applyProtection="1">
      <alignment vertical="top"/>
      <protection locked="0"/>
    </xf>
    <xf numFmtId="49" fontId="33" fillId="0" borderId="40" xfId="0" quotePrefix="1" applyNumberFormat="1" applyFont="1" applyFill="1" applyBorder="1" applyAlignment="1" applyProtection="1">
      <alignment vertical="center"/>
      <protection locked="0"/>
    </xf>
    <xf numFmtId="0" fontId="4" fillId="0" borderId="40" xfId="0" applyFont="1" applyFill="1" applyBorder="1" applyAlignment="1" applyProtection="1">
      <alignment vertical="center"/>
      <protection locked="0"/>
    </xf>
    <xf numFmtId="0" fontId="0" fillId="13" borderId="71" xfId="0" applyNumberFormat="1" applyFont="1" applyFill="1" applyBorder="1" applyAlignment="1" applyProtection="1">
      <alignment vertical="center" shrinkToFit="1"/>
      <protection locked="0"/>
    </xf>
    <xf numFmtId="168" fontId="0" fillId="0" borderId="40" xfId="0" applyNumberFormat="1" applyBorder="1" applyAlignment="1" applyProtection="1">
      <alignment vertical="top"/>
    </xf>
    <xf numFmtId="49" fontId="33" fillId="0" borderId="72" xfId="0" quotePrefix="1" applyNumberFormat="1" applyFont="1" applyFill="1" applyBorder="1" applyAlignment="1" applyProtection="1">
      <alignment vertical="center"/>
      <protection locked="0"/>
    </xf>
    <xf numFmtId="0" fontId="8" fillId="0" borderId="73" xfId="0" applyFont="1" applyBorder="1" applyAlignment="1">
      <alignment vertical="center"/>
    </xf>
    <xf numFmtId="0" fontId="0" fillId="0" borderId="73" xfId="0" applyNumberFormat="1" applyFont="1" applyFill="1" applyBorder="1" applyAlignment="1" applyProtection="1">
      <alignment vertical="center" shrinkToFit="1"/>
      <protection locked="0"/>
    </xf>
    <xf numFmtId="0" fontId="0" fillId="4" borderId="73" xfId="0" applyNumberFormat="1" applyFont="1" applyFill="1" applyBorder="1" applyAlignment="1" applyProtection="1">
      <alignment vertical="center" shrinkToFit="1"/>
      <protection locked="0"/>
    </xf>
    <xf numFmtId="168" fontId="15" fillId="0" borderId="73" xfId="0" applyNumberFormat="1" applyFont="1" applyFill="1" applyBorder="1" applyAlignment="1" applyProtection="1">
      <alignment vertical="center" shrinkToFit="1"/>
      <protection locked="0"/>
    </xf>
    <xf numFmtId="168" fontId="0" fillId="0" borderId="72" xfId="0" applyNumberFormat="1" applyFill="1" applyBorder="1" applyAlignment="1" applyProtection="1">
      <alignment horizontal="center" vertical="top"/>
    </xf>
    <xf numFmtId="168" fontId="0" fillId="0" borderId="72" xfId="0" applyNumberFormat="1" applyBorder="1" applyAlignment="1" applyProtection="1">
      <alignment vertical="top"/>
    </xf>
    <xf numFmtId="168" fontId="0" fillId="0" borderId="47" xfId="0" applyNumberFormat="1" applyFill="1" applyBorder="1" applyAlignment="1" applyProtection="1">
      <alignment horizontal="center" vertical="top"/>
      <protection locked="0"/>
    </xf>
    <xf numFmtId="49" fontId="33" fillId="0" borderId="19" xfId="0" quotePrefix="1" applyNumberFormat="1" applyFont="1" applyFill="1" applyBorder="1" applyAlignment="1" applyProtection="1">
      <alignment vertical="center"/>
      <protection locked="0"/>
    </xf>
    <xf numFmtId="0" fontId="0" fillId="0" borderId="19" xfId="0" applyFill="1" applyBorder="1" applyAlignment="1" applyProtection="1">
      <alignment vertical="center"/>
      <protection locked="0"/>
    </xf>
    <xf numFmtId="14" fontId="8" fillId="0" borderId="19" xfId="0" applyNumberFormat="1" applyFont="1" applyBorder="1" applyAlignment="1" applyProtection="1">
      <alignment vertical="top"/>
      <protection locked="0"/>
    </xf>
    <xf numFmtId="0" fontId="8" fillId="0" borderId="73" xfId="0" applyFont="1" applyFill="1" applyBorder="1" applyAlignment="1" applyProtection="1">
      <alignment vertical="top"/>
      <protection locked="0"/>
    </xf>
    <xf numFmtId="168" fontId="0" fillId="8" borderId="72" xfId="0" applyNumberFormat="1" applyFill="1" applyBorder="1" applyAlignment="1" applyProtection="1">
      <alignment horizontal="center" vertical="top"/>
    </xf>
    <xf numFmtId="168" fontId="0" fillId="8" borderId="72" xfId="0" applyNumberFormat="1" applyFill="1" applyBorder="1" applyAlignment="1" applyProtection="1">
      <alignment vertical="top"/>
    </xf>
    <xf numFmtId="168" fontId="0" fillId="16" borderId="39" xfId="0" applyNumberFormat="1" applyFill="1" applyBorder="1" applyAlignment="1" applyProtection="1">
      <alignment horizontal="center" vertical="top"/>
      <protection locked="0"/>
    </xf>
    <xf numFmtId="0" fontId="8" fillId="0" borderId="40" xfId="0" quotePrefix="1" applyFont="1" applyFill="1" applyBorder="1" applyAlignment="1" applyProtection="1">
      <alignment vertical="top"/>
      <protection locked="0"/>
    </xf>
    <xf numFmtId="0" fontId="33" fillId="0" borderId="40" xfId="0" quotePrefix="1" applyFont="1" applyFill="1" applyBorder="1" applyAlignment="1" applyProtection="1">
      <alignment vertical="center"/>
      <protection locked="0"/>
    </xf>
    <xf numFmtId="168" fontId="0" fillId="0" borderId="74" xfId="0" applyNumberFormat="1" applyBorder="1" applyAlignment="1" applyProtection="1">
      <alignment horizontal="center" vertical="top"/>
      <protection locked="0"/>
    </xf>
    <xf numFmtId="0" fontId="33" fillId="0" borderId="72" xfId="0" quotePrefix="1" applyFont="1" applyFill="1" applyBorder="1" applyAlignment="1" applyProtection="1">
      <alignment vertical="center"/>
      <protection locked="0"/>
    </xf>
    <xf numFmtId="0" fontId="0" fillId="0" borderId="72" xfId="0" applyBorder="1" applyAlignment="1" applyProtection="1">
      <alignment vertical="center"/>
      <protection locked="0"/>
    </xf>
    <xf numFmtId="0" fontId="8" fillId="0" borderId="72" xfId="0" applyFont="1" applyBorder="1" applyAlignment="1" applyProtection="1">
      <alignment horizontal="center" vertical="top"/>
      <protection locked="0"/>
    </xf>
    <xf numFmtId="0" fontId="8" fillId="0" borderId="72" xfId="0" applyFont="1" applyBorder="1" applyAlignment="1" applyProtection="1">
      <alignment horizontal="left" vertical="top"/>
      <protection locked="0"/>
    </xf>
    <xf numFmtId="168" fontId="4" fillId="12" borderId="72" xfId="0" applyNumberFormat="1" applyFont="1" applyFill="1" applyBorder="1" applyAlignment="1" applyProtection="1">
      <alignment vertical="top"/>
    </xf>
    <xf numFmtId="168" fontId="16" fillId="0" borderId="71" xfId="2" applyNumberFormat="1" applyFont="1" applyBorder="1" applyAlignment="1" applyProtection="1">
      <alignment horizontal="center" vertical="top"/>
      <protection locked="0"/>
    </xf>
    <xf numFmtId="0" fontId="16" fillId="0" borderId="71" xfId="0" applyFont="1" applyFill="1" applyBorder="1" applyAlignment="1" applyProtection="1">
      <alignment vertical="top"/>
      <protection locked="0"/>
    </xf>
    <xf numFmtId="168" fontId="16" fillId="0" borderId="39" xfId="0" applyNumberFormat="1" applyFont="1" applyBorder="1" applyAlignment="1" applyProtection="1">
      <alignment horizontal="center" vertical="top"/>
      <protection locked="0"/>
    </xf>
    <xf numFmtId="0" fontId="16" fillId="0" borderId="40" xfId="0" applyFont="1" applyFill="1" applyBorder="1" applyAlignment="1" applyProtection="1">
      <alignment vertical="top"/>
      <protection locked="0"/>
    </xf>
    <xf numFmtId="0" fontId="38" fillId="0" borderId="40" xfId="0" applyFont="1" applyFill="1" applyBorder="1" applyAlignment="1" applyProtection="1">
      <alignment vertical="center"/>
      <protection locked="0"/>
    </xf>
    <xf numFmtId="0" fontId="16" fillId="0" borderId="40" xfId="0" applyFont="1" applyFill="1" applyBorder="1" applyAlignment="1" applyProtection="1">
      <alignment vertical="center"/>
      <protection locked="0"/>
    </xf>
    <xf numFmtId="0" fontId="16" fillId="0" borderId="40" xfId="0" applyFont="1" applyBorder="1" applyAlignment="1" applyProtection="1">
      <alignment vertical="top"/>
      <protection locked="0"/>
    </xf>
    <xf numFmtId="0" fontId="16" fillId="0" borderId="39" xfId="0" applyFont="1" applyBorder="1" applyAlignment="1" applyProtection="1">
      <alignment horizontal="left" vertical="top"/>
      <protection locked="0"/>
    </xf>
    <xf numFmtId="0" fontId="8" fillId="0" borderId="40" xfId="0" applyFont="1" applyBorder="1" applyAlignment="1" applyProtection="1">
      <alignment horizontal="center" vertical="top"/>
      <protection locked="0"/>
    </xf>
    <xf numFmtId="168" fontId="16" fillId="12" borderId="40" xfId="0" applyNumberFormat="1" applyFont="1" applyFill="1" applyBorder="1" applyAlignment="1" applyProtection="1">
      <alignment horizontal="center" vertical="top"/>
    </xf>
    <xf numFmtId="168" fontId="16" fillId="12" borderId="40" xfId="0" applyNumberFormat="1" applyFont="1" applyFill="1" applyBorder="1" applyAlignment="1" applyProtection="1">
      <alignment vertical="top"/>
    </xf>
    <xf numFmtId="0" fontId="8" fillId="0" borderId="73" xfId="0" applyFont="1" applyBorder="1" applyAlignment="1" applyProtection="1">
      <alignment vertical="top"/>
      <protection locked="0"/>
    </xf>
    <xf numFmtId="168" fontId="39" fillId="12" borderId="73" xfId="0" applyNumberFormat="1" applyFont="1" applyFill="1" applyBorder="1" applyAlignment="1" applyProtection="1">
      <alignment vertical="center" shrinkToFit="1"/>
      <protection locked="0"/>
    </xf>
    <xf numFmtId="0" fontId="8" fillId="0" borderId="71" xfId="0" applyFont="1" applyBorder="1" applyAlignment="1" applyProtection="1">
      <alignment vertical="top"/>
      <protection locked="0"/>
    </xf>
    <xf numFmtId="0" fontId="0" fillId="14" borderId="71" xfId="0" applyNumberFormat="1" applyFont="1" applyFill="1" applyBorder="1" applyAlignment="1" applyProtection="1">
      <alignment vertical="center" shrinkToFit="1"/>
      <protection locked="0"/>
    </xf>
    <xf numFmtId="168" fontId="0" fillId="14" borderId="71" xfId="0" applyNumberFormat="1" applyFont="1" applyFill="1" applyBorder="1" applyAlignment="1" applyProtection="1">
      <alignment vertical="center" shrinkToFit="1"/>
      <protection locked="0"/>
    </xf>
    <xf numFmtId="168" fontId="0" fillId="14" borderId="40" xfId="0" applyNumberFormat="1" applyFill="1" applyBorder="1" applyAlignment="1" applyProtection="1">
      <alignment horizontal="center" vertical="top"/>
    </xf>
    <xf numFmtId="168" fontId="0" fillId="14" borderId="40" xfId="0" applyNumberFormat="1" applyFill="1" applyBorder="1" applyAlignment="1" applyProtection="1">
      <alignment vertical="top"/>
    </xf>
    <xf numFmtId="49" fontId="16" fillId="0" borderId="72" xfId="2" applyNumberFormat="1" applyFont="1" applyBorder="1" applyAlignment="1" applyProtection="1">
      <alignment horizontal="left" vertical="center"/>
      <protection locked="0"/>
    </xf>
    <xf numFmtId="168" fontId="16" fillId="0" borderId="73" xfId="2" applyNumberFormat="1" applyFont="1" applyBorder="1" applyAlignment="1" applyProtection="1">
      <alignment horizontal="center" vertical="top"/>
      <protection locked="0"/>
    </xf>
    <xf numFmtId="0" fontId="22" fillId="0" borderId="73" xfId="0" applyFont="1" applyFill="1" applyBorder="1" applyAlignment="1" applyProtection="1">
      <alignment vertical="top"/>
      <protection locked="0"/>
    </xf>
    <xf numFmtId="168" fontId="16" fillId="16" borderId="74" xfId="0" applyNumberFormat="1" applyFont="1" applyFill="1" applyBorder="1" applyAlignment="1" applyProtection="1">
      <alignment horizontal="center"/>
      <protection locked="0"/>
    </xf>
    <xf numFmtId="49" fontId="16" fillId="0" borderId="72" xfId="0" quotePrefix="1" applyNumberFormat="1" applyFont="1" applyFill="1" applyBorder="1" applyAlignment="1" applyProtection="1">
      <alignment vertical="top"/>
      <protection locked="0"/>
    </xf>
    <xf numFmtId="49" fontId="34" fillId="0" borderId="72" xfId="0" quotePrefix="1" applyNumberFormat="1" applyFont="1" applyFill="1" applyBorder="1" applyAlignment="1" applyProtection="1">
      <alignment vertical="center" wrapText="1"/>
      <protection locked="0"/>
    </xf>
    <xf numFmtId="0" fontId="16" fillId="0" borderId="72" xfId="0" applyFont="1" applyBorder="1" applyAlignment="1" applyProtection="1">
      <alignment vertical="center"/>
      <protection locked="0"/>
    </xf>
    <xf numFmtId="0" fontId="16" fillId="0" borderId="72" xfId="0" applyFont="1" applyBorder="1" applyAlignment="1" applyProtection="1">
      <alignment vertical="top"/>
      <protection locked="0"/>
    </xf>
    <xf numFmtId="0" fontId="16" fillId="0" borderId="74" xfId="0" applyFont="1" applyBorder="1" applyAlignment="1" applyProtection="1">
      <alignment horizontal="left" vertical="top"/>
      <protection locked="0"/>
    </xf>
    <xf numFmtId="14" fontId="16" fillId="0" borderId="72" xfId="0" applyNumberFormat="1" applyFont="1" applyBorder="1" applyAlignment="1" applyProtection="1">
      <alignment vertical="top"/>
      <protection locked="0"/>
    </xf>
    <xf numFmtId="168" fontId="16" fillId="12" borderId="72" xfId="0" applyNumberFormat="1" applyFont="1" applyFill="1" applyBorder="1" applyAlignment="1" applyProtection="1">
      <alignment horizontal="center" vertical="top"/>
    </xf>
    <xf numFmtId="168" fontId="16" fillId="12" borderId="72" xfId="0" applyNumberFormat="1" applyFont="1" applyFill="1" applyBorder="1" applyAlignment="1" applyProtection="1">
      <alignment vertical="top"/>
    </xf>
    <xf numFmtId="0" fontId="8" fillId="0" borderId="40" xfId="0" applyFont="1" applyFill="1" applyBorder="1" applyAlignment="1" applyProtection="1">
      <alignment vertical="top"/>
      <protection locked="0"/>
    </xf>
    <xf numFmtId="0" fontId="33" fillId="0" borderId="40" xfId="0" applyFont="1" applyFill="1" applyBorder="1" applyAlignment="1" applyProtection="1">
      <alignment vertical="center"/>
      <protection locked="0"/>
    </xf>
    <xf numFmtId="168" fontId="0" fillId="0" borderId="71" xfId="0" applyNumberFormat="1" applyFont="1" applyFill="1" applyBorder="1" applyAlignment="1" applyProtection="1">
      <alignment horizontal="center" vertical="top" shrinkToFit="1"/>
    </xf>
    <xf numFmtId="168" fontId="0" fillId="0" borderId="40" xfId="0" applyNumberFormat="1" applyFont="1" applyFill="1" applyBorder="1" applyAlignment="1" applyProtection="1">
      <alignment horizontal="center" vertical="top" shrinkToFit="1"/>
    </xf>
    <xf numFmtId="49" fontId="0" fillId="0" borderId="72" xfId="0" quotePrefix="1" applyNumberFormat="1" applyFont="1" applyFill="1" applyBorder="1" applyAlignment="1" applyProtection="1">
      <alignment vertical="top"/>
      <protection locked="0"/>
    </xf>
    <xf numFmtId="14" fontId="0" fillId="0" borderId="72" xfId="0" applyNumberFormat="1" applyFont="1" applyBorder="1" applyAlignment="1" applyProtection="1">
      <alignment vertical="top"/>
      <protection locked="0"/>
    </xf>
    <xf numFmtId="168" fontId="0" fillId="0" borderId="72" xfId="0" applyNumberFormat="1" applyBorder="1" applyAlignment="1" applyProtection="1">
      <alignment horizontal="center" vertical="top"/>
    </xf>
    <xf numFmtId="49" fontId="0" fillId="0" borderId="40" xfId="0" quotePrefix="1" applyNumberFormat="1" applyFont="1" applyFill="1" applyBorder="1" applyAlignment="1" applyProtection="1">
      <alignment vertical="top"/>
      <protection locked="0"/>
    </xf>
    <xf numFmtId="168" fontId="0" fillId="15" borderId="40" xfId="0" applyNumberFormat="1" applyFill="1" applyBorder="1" applyAlignment="1" applyProtection="1">
      <alignment horizontal="center" vertical="top"/>
    </xf>
    <xf numFmtId="165" fontId="0" fillId="0" borderId="73" xfId="0" applyNumberFormat="1" applyFont="1" applyBorder="1" applyAlignment="1">
      <alignment vertical="center"/>
    </xf>
    <xf numFmtId="168" fontId="0" fillId="0" borderId="72" xfId="0" applyNumberFormat="1" applyFont="1" applyBorder="1" applyAlignment="1" applyProtection="1">
      <alignment vertical="top"/>
    </xf>
    <xf numFmtId="0" fontId="8" fillId="0" borderId="71" xfId="0" applyFont="1" applyFill="1" applyBorder="1" applyAlignment="1" applyProtection="1">
      <alignment vertical="top"/>
      <protection locked="0"/>
    </xf>
    <xf numFmtId="0" fontId="33" fillId="0" borderId="40" xfId="0" applyFont="1" applyBorder="1" applyAlignment="1" applyProtection="1">
      <alignment vertical="center"/>
      <protection locked="0"/>
    </xf>
    <xf numFmtId="168" fontId="0" fillId="0" borderId="40" xfId="0" applyNumberFormat="1" applyFont="1" applyBorder="1" applyAlignment="1" applyProtection="1">
      <alignment vertical="top"/>
    </xf>
    <xf numFmtId="0" fontId="8" fillId="0" borderId="72" xfId="0" applyFont="1" applyFill="1" applyBorder="1" applyAlignment="1" applyProtection="1">
      <alignment vertical="top"/>
      <protection locked="0"/>
    </xf>
    <xf numFmtId="0" fontId="0" fillId="9" borderId="72" xfId="0" applyFill="1" applyBorder="1" applyAlignment="1" applyProtection="1">
      <alignment vertical="center"/>
      <protection locked="0"/>
    </xf>
    <xf numFmtId="168" fontId="0" fillId="0" borderId="72" xfId="0" applyNumberFormat="1" applyFill="1" applyBorder="1" applyAlignment="1" applyProtection="1">
      <alignment vertical="top"/>
    </xf>
    <xf numFmtId="49" fontId="0" fillId="0" borderId="40" xfId="0" applyNumberFormat="1" applyFont="1" applyFill="1" applyBorder="1" applyAlignment="1" applyProtection="1">
      <alignment vertical="top"/>
      <protection locked="0"/>
    </xf>
    <xf numFmtId="49" fontId="33" fillId="0" borderId="40" xfId="0" applyNumberFormat="1" applyFont="1" applyFill="1" applyBorder="1" applyAlignment="1" applyProtection="1">
      <alignment vertical="center"/>
      <protection locked="0"/>
    </xf>
    <xf numFmtId="168" fontId="0" fillId="0" borderId="73" xfId="0" applyNumberFormat="1" applyFont="1" applyFill="1" applyBorder="1" applyAlignment="1" applyProtection="1">
      <alignment vertical="center"/>
      <protection locked="0"/>
    </xf>
    <xf numFmtId="168" fontId="7" fillId="0" borderId="0" xfId="0" applyNumberFormat="1" applyFont="1" applyFill="1" applyAlignment="1" applyProtection="1">
      <alignment horizontal="center"/>
    </xf>
    <xf numFmtId="0" fontId="0" fillId="0" borderId="1" xfId="0" quotePrefix="1" applyFont="1" applyBorder="1" applyAlignment="1">
      <alignment vertical="top"/>
    </xf>
    <xf numFmtId="0" fontId="0" fillId="0" borderId="1" xfId="0" applyFont="1" applyFill="1" applyBorder="1" applyAlignment="1" applyProtection="1">
      <alignment vertical="top"/>
      <protection locked="0"/>
    </xf>
    <xf numFmtId="0" fontId="0" fillId="0" borderId="1" xfId="0" applyFont="1" applyBorder="1" applyAlignment="1">
      <alignment vertical="top"/>
    </xf>
    <xf numFmtId="0" fontId="0" fillId="0" borderId="2" xfId="0" applyFont="1" applyBorder="1" applyAlignment="1">
      <alignment vertical="top"/>
    </xf>
    <xf numFmtId="0" fontId="0" fillId="0" borderId="1" xfId="0" applyFont="1" applyBorder="1" applyAlignment="1" applyProtection="1">
      <alignment vertical="top"/>
      <protection locked="0"/>
    </xf>
    <xf numFmtId="0" fontId="40" fillId="0" borderId="6" xfId="0" applyNumberFormat="1" applyFont="1" applyBorder="1" applyAlignment="1" applyProtection="1">
      <alignment horizontal="center" vertical="top"/>
    </xf>
    <xf numFmtId="0" fontId="40" fillId="0" borderId="4" xfId="0" applyNumberFormat="1" applyFont="1" applyBorder="1" applyAlignment="1" applyProtection="1">
      <alignment horizontal="center" vertical="top"/>
    </xf>
    <xf numFmtId="0" fontId="40" fillId="0" borderId="5" xfId="0" applyNumberFormat="1" applyFont="1" applyBorder="1" applyAlignment="1" applyProtection="1">
      <alignment horizontal="center" vertical="top"/>
    </xf>
    <xf numFmtId="0" fontId="40" fillId="0" borderId="60" xfId="0" applyNumberFormat="1" applyFont="1" applyBorder="1" applyAlignment="1" applyProtection="1">
      <alignment horizontal="center" vertical="top"/>
    </xf>
    <xf numFmtId="0" fontId="0" fillId="0" borderId="0" xfId="0" applyFont="1" applyBorder="1" applyAlignment="1">
      <alignment horizontal="center" vertical="top"/>
    </xf>
    <xf numFmtId="0" fontId="0" fillId="0" borderId="16" xfId="0" applyFont="1" applyBorder="1" applyAlignment="1">
      <alignment horizontal="center" vertical="top"/>
    </xf>
    <xf numFmtId="0" fontId="0" fillId="0" borderId="18" xfId="0" applyFont="1" applyBorder="1" applyAlignment="1">
      <alignment horizontal="center" vertical="top"/>
    </xf>
    <xf numFmtId="0" fontId="16" fillId="0" borderId="0" xfId="0" applyFont="1" applyBorder="1" applyAlignment="1">
      <alignment horizontal="center" vertical="top"/>
    </xf>
    <xf numFmtId="0" fontId="0" fillId="0" borderId="28" xfId="0" applyFont="1" applyBorder="1" applyAlignment="1">
      <alignment horizontal="center" vertical="top"/>
    </xf>
    <xf numFmtId="0" fontId="18" fillId="0" borderId="6" xfId="0" applyNumberFormat="1" applyFont="1" applyBorder="1" applyAlignment="1" applyProtection="1">
      <alignment horizontal="center" vertical="top"/>
    </xf>
    <xf numFmtId="0" fontId="18" fillId="0" borderId="4" xfId="0" applyNumberFormat="1" applyFont="1" applyBorder="1" applyAlignment="1" applyProtection="1">
      <alignment horizontal="center" vertical="top"/>
    </xf>
    <xf numFmtId="0" fontId="18" fillId="0" borderId="5" xfId="0" applyNumberFormat="1" applyFont="1" applyBorder="1" applyAlignment="1" applyProtection="1">
      <alignment horizontal="center" vertical="top"/>
    </xf>
    <xf numFmtId="0" fontId="18" fillId="0" borderId="60" xfId="0" applyNumberFormat="1" applyFont="1" applyBorder="1" applyAlignment="1" applyProtection="1">
      <alignment horizontal="center" vertical="top"/>
    </xf>
    <xf numFmtId="0" fontId="0" fillId="0" borderId="29" xfId="0" applyBorder="1" applyAlignment="1">
      <alignment vertical="top"/>
    </xf>
    <xf numFmtId="0" fontId="0" fillId="0" borderId="2" xfId="0" applyFill="1" applyBorder="1" applyAlignment="1">
      <alignment vertical="top"/>
    </xf>
    <xf numFmtId="0" fontId="16" fillId="0" borderId="29" xfId="0" applyFont="1" applyBorder="1" applyAlignment="1">
      <alignment vertical="top"/>
    </xf>
    <xf numFmtId="0" fontId="16" fillId="0" borderId="1" xfId="0" quotePrefix="1" applyFont="1" applyFill="1" applyBorder="1" applyAlignment="1">
      <alignment vertical="top"/>
    </xf>
    <xf numFmtId="0" fontId="16" fillId="0" borderId="2" xfId="0" applyFont="1" applyFill="1" applyBorder="1" applyAlignment="1">
      <alignment vertical="top"/>
    </xf>
    <xf numFmtId="0" fontId="19" fillId="0" borderId="6" xfId="0" applyNumberFormat="1" applyFont="1" applyBorder="1" applyAlignment="1" applyProtection="1">
      <alignment horizontal="center" vertical="top"/>
    </xf>
    <xf numFmtId="0" fontId="19" fillId="0" borderId="4" xfId="0" applyNumberFormat="1" applyFont="1" applyBorder="1" applyAlignment="1" applyProtection="1">
      <alignment horizontal="center" vertical="top"/>
    </xf>
    <xf numFmtId="0" fontId="19" fillId="0" borderId="5" xfId="0" applyNumberFormat="1" applyFont="1" applyBorder="1" applyAlignment="1" applyProtection="1">
      <alignment horizontal="center" vertical="top"/>
    </xf>
    <xf numFmtId="0" fontId="19" fillId="0" borderId="60" xfId="0" applyNumberFormat="1" applyFont="1" applyBorder="1" applyAlignment="1" applyProtection="1">
      <alignment horizontal="center" vertical="top"/>
    </xf>
    <xf numFmtId="0" fontId="18" fillId="0" borderId="42" xfId="0" applyNumberFormat="1" applyFont="1" applyBorder="1" applyAlignment="1" applyProtection="1">
      <alignment horizontal="center" vertical="center"/>
    </xf>
    <xf numFmtId="0" fontId="18" fillId="0" borderId="75" xfId="0" applyNumberFormat="1" applyFont="1" applyBorder="1" applyAlignment="1" applyProtection="1">
      <alignment horizontal="center" vertical="top"/>
      <protection locked="0"/>
    </xf>
    <xf numFmtId="1" fontId="16" fillId="0" borderId="2" xfId="0" applyNumberFormat="1" applyFont="1" applyBorder="1" applyAlignment="1" applyProtection="1">
      <alignment horizontal="center" vertical="top"/>
      <protection locked="0"/>
    </xf>
    <xf numFmtId="0" fontId="18" fillId="0" borderId="77" xfId="0" applyNumberFormat="1" applyFont="1" applyBorder="1" applyAlignment="1" applyProtection="1">
      <alignment horizontal="center" vertical="top"/>
      <protection locked="0"/>
    </xf>
    <xf numFmtId="0" fontId="19" fillId="0" borderId="78" xfId="0" applyNumberFormat="1" applyFont="1" applyBorder="1" applyAlignment="1" applyProtection="1">
      <alignment horizontal="center" vertical="top"/>
      <protection locked="0"/>
    </xf>
    <xf numFmtId="0" fontId="18" fillId="0" borderId="78" xfId="0" applyNumberFormat="1" applyFont="1" applyBorder="1" applyAlignment="1" applyProtection="1">
      <alignment horizontal="center" vertical="top"/>
      <protection locked="0"/>
    </xf>
    <xf numFmtId="0" fontId="18" fillId="0" borderId="78" xfId="0" applyNumberFormat="1" applyFont="1" applyBorder="1" applyAlignment="1" applyProtection="1">
      <alignment horizontal="center" vertical="top"/>
    </xf>
    <xf numFmtId="0" fontId="40" fillId="0" borderId="78" xfId="0" applyNumberFormat="1" applyFont="1" applyBorder="1" applyAlignment="1" applyProtection="1">
      <alignment horizontal="center" vertical="top"/>
    </xf>
    <xf numFmtId="0" fontId="19" fillId="0" borderId="78" xfId="0" applyNumberFormat="1" applyFont="1" applyBorder="1" applyAlignment="1" applyProtection="1">
      <alignment horizontal="center" vertical="top"/>
    </xf>
    <xf numFmtId="0" fontId="8" fillId="0" borderId="0" xfId="0" applyFont="1" applyFill="1" applyBorder="1" applyAlignment="1" applyProtection="1">
      <alignment horizontal="left" vertical="top" wrapText="1"/>
      <protection locked="0"/>
    </xf>
    <xf numFmtId="0" fontId="8" fillId="0" borderId="0" xfId="0" applyFont="1" applyBorder="1" applyAlignment="1">
      <alignment horizontal="center" vertical="top"/>
    </xf>
    <xf numFmtId="0" fontId="22" fillId="0" borderId="0" xfId="0" applyFont="1" applyFill="1" applyBorder="1" applyAlignment="1" applyProtection="1">
      <alignment vertical="top"/>
      <protection locked="0"/>
    </xf>
    <xf numFmtId="0" fontId="16" fillId="0" borderId="1" xfId="0" applyFont="1" applyBorder="1" applyAlignment="1" applyProtection="1">
      <alignment horizontal="left" vertical="top"/>
      <protection locked="0"/>
    </xf>
    <xf numFmtId="0" fontId="16" fillId="0" borderId="1" xfId="0" applyFont="1" applyBorder="1" applyAlignment="1" applyProtection="1">
      <alignment horizontal="center" vertical="top"/>
      <protection locked="0"/>
    </xf>
    <xf numFmtId="0" fontId="41" fillId="0" borderId="78" xfId="0" applyNumberFormat="1" applyFont="1" applyBorder="1" applyAlignment="1" applyProtection="1">
      <alignment horizontal="center" vertical="top"/>
    </xf>
    <xf numFmtId="0" fontId="41" fillId="0" borderId="4" xfId="0" applyNumberFormat="1" applyFont="1" applyBorder="1" applyAlignment="1" applyProtection="1">
      <alignment horizontal="center" vertical="top"/>
    </xf>
    <xf numFmtId="0" fontId="41" fillId="0" borderId="5" xfId="0" applyNumberFormat="1" applyFont="1" applyBorder="1" applyAlignment="1" applyProtection="1">
      <alignment horizontal="center" vertical="top"/>
    </xf>
    <xf numFmtId="0" fontId="41" fillId="0" borderId="6" xfId="0" applyNumberFormat="1" applyFont="1" applyBorder="1" applyAlignment="1" applyProtection="1">
      <alignment horizontal="center" vertical="top"/>
    </xf>
    <xf numFmtId="0" fontId="41" fillId="0" borderId="60" xfId="0" applyNumberFormat="1" applyFont="1" applyBorder="1" applyAlignment="1" applyProtection="1">
      <alignment horizontal="center" vertical="top"/>
    </xf>
    <xf numFmtId="0" fontId="0" fillId="0" borderId="2" xfId="0" applyFont="1" applyBorder="1" applyAlignment="1" applyProtection="1">
      <alignment horizontal="left" vertical="top"/>
      <protection locked="0"/>
    </xf>
    <xf numFmtId="0" fontId="6" fillId="8" borderId="19" xfId="0" applyFont="1" applyFill="1" applyBorder="1" applyAlignment="1" applyProtection="1">
      <alignment horizontal="left" vertical="top"/>
      <protection locked="0"/>
    </xf>
    <xf numFmtId="0" fontId="4" fillId="8" borderId="19" xfId="0" applyFont="1" applyFill="1" applyBorder="1" applyAlignment="1" applyProtection="1">
      <alignment horizontal="left" vertical="top"/>
      <protection locked="0"/>
    </xf>
    <xf numFmtId="0" fontId="0" fillId="8" borderId="19" xfId="0" applyFont="1" applyFill="1" applyBorder="1" applyAlignment="1" applyProtection="1">
      <alignment horizontal="left" vertical="top"/>
      <protection locked="0"/>
    </xf>
    <xf numFmtId="0" fontId="8" fillId="8" borderId="19" xfId="0" applyFont="1" applyFill="1" applyBorder="1" applyAlignment="1" applyProtection="1">
      <alignment horizontal="left" vertical="top"/>
      <protection locked="0"/>
    </xf>
    <xf numFmtId="0" fontId="16" fillId="0" borderId="19" xfId="0" applyFont="1" applyFill="1" applyBorder="1" applyAlignment="1" applyProtection="1">
      <alignment horizontal="center" vertical="top"/>
      <protection locked="0"/>
    </xf>
    <xf numFmtId="0" fontId="16" fillId="8" borderId="19" xfId="0" applyFont="1" applyFill="1" applyBorder="1" applyAlignment="1" applyProtection="1">
      <alignment horizontal="left" vertical="top"/>
      <protection locked="0"/>
    </xf>
    <xf numFmtId="0" fontId="8" fillId="0" borderId="18" xfId="0" applyFont="1" applyBorder="1" applyAlignment="1" applyProtection="1">
      <alignment horizontal="center" vertical="top"/>
      <protection locked="0"/>
    </xf>
    <xf numFmtId="0" fontId="16" fillId="0" borderId="18" xfId="0" applyFont="1" applyBorder="1" applyAlignment="1" applyProtection="1">
      <alignment horizontal="center" vertical="top"/>
      <protection locked="0"/>
    </xf>
    <xf numFmtId="0" fontId="16" fillId="8" borderId="47" xfId="0" applyFont="1" applyFill="1" applyBorder="1" applyAlignment="1" applyProtection="1">
      <alignment horizontal="left" vertical="top"/>
      <protection locked="0"/>
    </xf>
    <xf numFmtId="0" fontId="0" fillId="0" borderId="18" xfId="0" applyFont="1" applyBorder="1" applyAlignment="1" applyProtection="1">
      <alignment horizontal="center" vertical="top"/>
      <protection locked="0"/>
    </xf>
    <xf numFmtId="0" fontId="22" fillId="8" borderId="18" xfId="0" applyFont="1" applyFill="1" applyBorder="1" applyAlignment="1" applyProtection="1">
      <alignment horizontal="left" vertical="top"/>
      <protection locked="0"/>
    </xf>
    <xf numFmtId="0" fontId="16" fillId="0" borderId="79" xfId="0" applyFont="1" applyBorder="1" applyAlignment="1" applyProtection="1">
      <alignment horizontal="center" vertical="top"/>
      <protection locked="0"/>
    </xf>
    <xf numFmtId="168" fontId="42" fillId="0" borderId="59" xfId="0" applyNumberFormat="1" applyFont="1" applyFill="1" applyBorder="1" applyAlignment="1" applyProtection="1">
      <alignment vertical="center" shrinkToFit="1"/>
      <protection locked="0"/>
    </xf>
    <xf numFmtId="168" fontId="4" fillId="0" borderId="72" xfId="0" applyNumberFormat="1" applyFont="1" applyFill="1" applyBorder="1" applyAlignment="1" applyProtection="1">
      <alignment horizontal="center" vertical="top"/>
    </xf>
    <xf numFmtId="168" fontId="4" fillId="0" borderId="72" xfId="0" applyNumberFormat="1" applyFont="1" applyBorder="1" applyAlignment="1" applyProtection="1">
      <alignment vertical="top"/>
    </xf>
    <xf numFmtId="168" fontId="13" fillId="7" borderId="0" xfId="0" applyNumberFormat="1" applyFont="1" applyFill="1" applyAlignment="1" applyProtection="1">
      <alignment horizontal="center"/>
    </xf>
    <xf numFmtId="168" fontId="4" fillId="0" borderId="40" xfId="0" applyNumberFormat="1" applyFont="1" applyFill="1" applyBorder="1" applyAlignment="1" applyProtection="1">
      <alignment horizontal="center" vertical="top"/>
    </xf>
    <xf numFmtId="168" fontId="4" fillId="0" borderId="40" xfId="0" applyNumberFormat="1" applyFont="1" applyBorder="1" applyAlignment="1" applyProtection="1">
      <alignment horizontal="center" vertical="top"/>
    </xf>
    <xf numFmtId="16" fontId="3" fillId="2" borderId="2" xfId="0" applyNumberFormat="1" applyFont="1" applyFill="1" applyBorder="1" applyAlignment="1" applyProtection="1">
      <alignment horizontal="left" vertical="top" textRotation="90" wrapText="1"/>
      <protection locked="0"/>
    </xf>
    <xf numFmtId="167" fontId="3" fillId="2" borderId="80" xfId="0" applyNumberFormat="1" applyFont="1" applyFill="1" applyBorder="1" applyAlignment="1" applyProtection="1">
      <alignment horizontal="left" vertical="top" textRotation="90" wrapText="1"/>
      <protection locked="0"/>
    </xf>
    <xf numFmtId="168" fontId="0" fillId="13" borderId="40" xfId="0" applyNumberFormat="1" applyFont="1" applyFill="1" applyBorder="1" applyAlignment="1" applyProtection="1">
      <alignment horizontal="center" vertical="top" shrinkToFit="1"/>
    </xf>
    <xf numFmtId="168" fontId="0" fillId="13" borderId="72" xfId="0" applyNumberFormat="1" applyFont="1" applyFill="1" applyBorder="1" applyAlignment="1" applyProtection="1">
      <alignment horizontal="center" vertical="top" shrinkToFit="1"/>
    </xf>
    <xf numFmtId="168" fontId="0" fillId="13" borderId="30" xfId="0" applyNumberFormat="1" applyFont="1" applyFill="1" applyBorder="1" applyAlignment="1" applyProtection="1">
      <alignment vertical="top" shrinkToFit="1"/>
    </xf>
    <xf numFmtId="168" fontId="0" fillId="12" borderId="30" xfId="0" applyNumberFormat="1" applyFont="1" applyFill="1" applyBorder="1" applyAlignment="1" applyProtection="1">
      <alignment vertical="top" shrinkToFit="1"/>
    </xf>
    <xf numFmtId="168" fontId="4" fillId="12" borderId="30" xfId="0" applyNumberFormat="1" applyFont="1" applyFill="1" applyBorder="1" applyAlignment="1" applyProtection="1">
      <alignment vertical="top" shrinkToFit="1"/>
    </xf>
    <xf numFmtId="168" fontId="0" fillId="12" borderId="72" xfId="0" applyNumberFormat="1" applyFont="1" applyFill="1" applyBorder="1" applyAlignment="1" applyProtection="1">
      <alignment vertical="top" shrinkToFit="1"/>
    </xf>
    <xf numFmtId="168" fontId="13" fillId="12" borderId="30" xfId="0" applyNumberFormat="1" applyFont="1" applyFill="1" applyBorder="1" applyAlignment="1" applyProtection="1">
      <alignment vertical="top" shrinkToFit="1"/>
    </xf>
    <xf numFmtId="168" fontId="13" fillId="12" borderId="30" xfId="0" applyNumberFormat="1" applyFont="1" applyFill="1" applyBorder="1" applyAlignment="1" applyProtection="1">
      <alignment vertical="top"/>
    </xf>
    <xf numFmtId="168" fontId="4" fillId="13" borderId="30" xfId="0" applyNumberFormat="1" applyFont="1" applyFill="1" applyBorder="1" applyAlignment="1" applyProtection="1">
      <alignment vertical="top" shrinkToFit="1"/>
    </xf>
    <xf numFmtId="168" fontId="16" fillId="12" borderId="30" xfId="0" applyNumberFormat="1" applyFont="1" applyFill="1" applyBorder="1" applyAlignment="1" applyProtection="1">
      <alignment vertical="top" shrinkToFit="1"/>
    </xf>
    <xf numFmtId="168" fontId="0" fillId="0" borderId="30" xfId="0" applyNumberFormat="1" applyFont="1" applyBorder="1" applyAlignment="1" applyProtection="1">
      <alignment vertical="top" shrinkToFit="1"/>
    </xf>
    <xf numFmtId="168" fontId="0" fillId="0" borderId="30" xfId="0" applyNumberFormat="1" applyFont="1" applyFill="1" applyBorder="1" applyAlignment="1" applyProtection="1">
      <alignment vertical="top"/>
    </xf>
    <xf numFmtId="168" fontId="0" fillId="12" borderId="72" xfId="0" applyNumberFormat="1" applyFont="1" applyFill="1" applyBorder="1" applyAlignment="1" applyProtection="1">
      <alignment horizontal="center" vertical="top" shrinkToFit="1"/>
    </xf>
    <xf numFmtId="168" fontId="16" fillId="12" borderId="40" xfId="0" applyNumberFormat="1" applyFont="1" applyFill="1" applyBorder="1" applyAlignment="1" applyProtection="1">
      <alignment horizontal="center" vertical="top" shrinkToFit="1"/>
    </xf>
    <xf numFmtId="168" fontId="0" fillId="0" borderId="72" xfId="0" applyNumberFormat="1" applyFont="1" applyFill="1" applyBorder="1" applyAlignment="1" applyProtection="1">
      <alignment vertical="top" shrinkToFit="1"/>
    </xf>
    <xf numFmtId="168" fontId="0" fillId="14" borderId="40" xfId="0" applyNumberFormat="1" applyFont="1" applyFill="1" applyBorder="1" applyAlignment="1" applyProtection="1">
      <alignment vertical="top" shrinkToFit="1"/>
    </xf>
    <xf numFmtId="168" fontId="16" fillId="12" borderId="72" xfId="0" applyNumberFormat="1" applyFont="1" applyFill="1" applyBorder="1" applyAlignment="1" applyProtection="1">
      <alignment vertical="top" shrinkToFit="1"/>
    </xf>
    <xf numFmtId="168" fontId="0" fillId="0" borderId="72" xfId="0" applyNumberFormat="1" applyFont="1" applyBorder="1" applyAlignment="1" applyProtection="1">
      <alignment vertical="top" shrinkToFit="1"/>
    </xf>
    <xf numFmtId="168" fontId="0" fillId="14" borderId="30" xfId="0" applyNumberFormat="1" applyFont="1" applyFill="1" applyBorder="1" applyAlignment="1" applyProtection="1">
      <alignment vertical="top" shrinkToFit="1"/>
    </xf>
    <xf numFmtId="168" fontId="0" fillId="8" borderId="72" xfId="0" applyNumberFormat="1" applyFont="1" applyFill="1" applyBorder="1" applyAlignment="1" applyProtection="1">
      <alignment vertical="top" shrinkToFit="1"/>
    </xf>
    <xf numFmtId="168" fontId="0" fillId="8" borderId="40" xfId="0" applyNumberFormat="1" applyFont="1" applyFill="1" applyBorder="1" applyAlignment="1" applyProtection="1">
      <alignment vertical="top" shrinkToFit="1"/>
    </xf>
    <xf numFmtId="168" fontId="4" fillId="0" borderId="72" xfId="0" applyNumberFormat="1" applyFont="1" applyFill="1" applyBorder="1" applyAlignment="1" applyProtection="1">
      <alignment vertical="top" shrinkToFit="1"/>
    </xf>
    <xf numFmtId="168" fontId="4" fillId="8" borderId="30" xfId="0" applyNumberFormat="1" applyFont="1" applyFill="1" applyBorder="1" applyAlignment="1" applyProtection="1">
      <alignment vertical="top" shrinkToFit="1"/>
    </xf>
    <xf numFmtId="168" fontId="0" fillId="8" borderId="30" xfId="0" applyNumberFormat="1" applyFont="1" applyFill="1" applyBorder="1" applyAlignment="1" applyProtection="1">
      <alignment vertical="top" shrinkToFit="1"/>
    </xf>
    <xf numFmtId="168" fontId="29" fillId="12" borderId="30" xfId="0" applyNumberFormat="1" applyFont="1" applyFill="1" applyBorder="1" applyAlignment="1" applyProtection="1">
      <alignment vertical="top" shrinkToFit="1"/>
    </xf>
    <xf numFmtId="168" fontId="16" fillId="12" borderId="30" xfId="0" applyNumberFormat="1" applyFont="1" applyFill="1" applyBorder="1"/>
    <xf numFmtId="168" fontId="3" fillId="7" borderId="26" xfId="0" applyNumberFormat="1" applyFont="1" applyFill="1" applyBorder="1" applyAlignment="1" applyProtection="1">
      <alignment horizontal="center" vertical="top" textRotation="90" wrapText="1"/>
    </xf>
    <xf numFmtId="168" fontId="8" fillId="0" borderId="30" xfId="0" applyNumberFormat="1" applyFont="1" applyFill="1" applyBorder="1" applyAlignment="1" applyProtection="1">
      <alignment horizontal="center" vertical="top"/>
    </xf>
    <xf numFmtId="168" fontId="8" fillId="0" borderId="30" xfId="0" applyNumberFormat="1" applyFont="1" applyFill="1" applyBorder="1" applyAlignment="1" applyProtection="1">
      <alignment vertical="top"/>
    </xf>
    <xf numFmtId="0" fontId="8" fillId="0" borderId="59" xfId="0" applyNumberFormat="1" applyFont="1" applyFill="1" applyBorder="1" applyAlignment="1" applyProtection="1">
      <alignment vertical="center" shrinkToFit="1"/>
      <protection locked="0"/>
    </xf>
    <xf numFmtId="168" fontId="8" fillId="0" borderId="30" xfId="0" applyNumberFormat="1" applyFont="1" applyFill="1" applyBorder="1" applyAlignment="1" applyProtection="1">
      <alignment vertical="top" shrinkToFit="1"/>
    </xf>
    <xf numFmtId="168" fontId="8" fillId="0" borderId="59" xfId="0" applyNumberFormat="1" applyFont="1" applyFill="1" applyBorder="1" applyAlignment="1" applyProtection="1">
      <alignment vertical="center"/>
      <protection locked="0"/>
    </xf>
    <xf numFmtId="168" fontId="8" fillId="0" borderId="59" xfId="0" applyNumberFormat="1" applyFont="1" applyFill="1" applyBorder="1" applyAlignment="1" applyProtection="1">
      <alignment vertical="center" shrinkToFit="1"/>
      <protection locked="0"/>
    </xf>
    <xf numFmtId="168" fontId="8" fillId="0" borderId="83" xfId="0" applyNumberFormat="1" applyFont="1" applyFill="1" applyBorder="1" applyAlignment="1" applyProtection="1">
      <alignment vertical="center" shrinkToFit="1"/>
      <protection locked="0"/>
    </xf>
    <xf numFmtId="0" fontId="0" fillId="0" borderId="30" xfId="0" applyFill="1" applyBorder="1" applyAlignment="1" applyProtection="1">
      <alignment horizontal="left" vertical="top"/>
      <protection locked="0"/>
    </xf>
    <xf numFmtId="0" fontId="16" fillId="0" borderId="30" xfId="0" applyFont="1" applyBorder="1"/>
    <xf numFmtId="0" fontId="16" fillId="0" borderId="30" xfId="0" applyFont="1" applyFill="1" applyBorder="1" applyAlignment="1" applyProtection="1">
      <alignment horizontal="left" vertical="top"/>
      <protection locked="0"/>
    </xf>
    <xf numFmtId="0" fontId="8" fillId="0" borderId="30" xfId="0" applyFont="1" applyBorder="1"/>
    <xf numFmtId="0" fontId="8" fillId="0" borderId="30" xfId="0" applyFont="1" applyFill="1" applyBorder="1" applyAlignment="1" applyProtection="1">
      <alignment horizontal="left" vertical="top"/>
      <protection locked="0"/>
    </xf>
    <xf numFmtId="0" fontId="8" fillId="0" borderId="83" xfId="2" applyFont="1" applyBorder="1" applyAlignment="1" applyProtection="1">
      <alignment horizontal="left" vertical="center"/>
      <protection locked="0"/>
    </xf>
    <xf numFmtId="168" fontId="8" fillId="0" borderId="30" xfId="2" applyNumberFormat="1" applyFont="1" applyBorder="1" applyAlignment="1" applyProtection="1">
      <alignment horizontal="center" vertical="top"/>
      <protection locked="0"/>
    </xf>
    <xf numFmtId="168" fontId="0" fillId="0" borderId="30" xfId="0" applyNumberFormat="1" applyFill="1" applyBorder="1" applyAlignment="1" applyProtection="1">
      <alignment horizontal="center" vertical="top"/>
      <protection locked="0"/>
    </xf>
    <xf numFmtId="49" fontId="8" fillId="0" borderId="83" xfId="2" applyNumberFormat="1" applyFont="1" applyBorder="1" applyAlignment="1" applyProtection="1">
      <alignment horizontal="left" vertical="center"/>
      <protection locked="0"/>
    </xf>
    <xf numFmtId="168" fontId="16" fillId="0" borderId="30" xfId="0" applyNumberFormat="1" applyFont="1" applyBorder="1" applyAlignment="1" applyProtection="1">
      <alignment horizontal="center" vertical="top"/>
      <protection locked="0"/>
    </xf>
    <xf numFmtId="168" fontId="0" fillId="0" borderId="30" xfId="0" applyNumberFormat="1" applyBorder="1" applyAlignment="1" applyProtection="1">
      <alignment horizontal="center" vertical="top"/>
      <protection locked="0"/>
    </xf>
    <xf numFmtId="0" fontId="28" fillId="0" borderId="34" xfId="0" applyFont="1" applyBorder="1" applyAlignment="1" applyProtection="1">
      <alignment vertical="center"/>
      <protection locked="0"/>
    </xf>
    <xf numFmtId="168" fontId="0" fillId="0" borderId="30" xfId="0" applyNumberFormat="1" applyBorder="1" applyAlignment="1">
      <alignment horizontal="center" vertical="top"/>
    </xf>
    <xf numFmtId="168" fontId="8" fillId="0" borderId="30" xfId="0" applyNumberFormat="1" applyFont="1" applyBorder="1" applyAlignment="1">
      <alignment horizontal="center" vertical="top"/>
    </xf>
    <xf numFmtId="0" fontId="8" fillId="0" borderId="30" xfId="0" applyFont="1" applyBorder="1" applyAlignment="1">
      <alignment vertical="top"/>
    </xf>
    <xf numFmtId="0" fontId="0" fillId="0" borderId="30" xfId="0" applyBorder="1" applyAlignment="1">
      <alignment vertical="center"/>
    </xf>
    <xf numFmtId="0" fontId="16" fillId="0" borderId="30" xfId="0" applyFont="1" applyBorder="1" applyAlignment="1">
      <alignment vertical="center"/>
    </xf>
    <xf numFmtId="0" fontId="8" fillId="0" borderId="30" xfId="0" applyFont="1" applyBorder="1" applyAlignment="1">
      <alignment vertical="center"/>
    </xf>
    <xf numFmtId="0" fontId="0" fillId="8" borderId="1" xfId="0" applyFill="1" applyBorder="1" applyAlignment="1" applyProtection="1">
      <alignment vertical="top"/>
    </xf>
    <xf numFmtId="0" fontId="0" fillId="8" borderId="17" xfId="0" applyFill="1" applyBorder="1" applyAlignment="1" applyProtection="1">
      <alignment vertical="top"/>
    </xf>
    <xf numFmtId="0" fontId="0" fillId="4" borderId="17" xfId="0" applyFill="1" applyBorder="1" applyAlignment="1" applyProtection="1">
      <alignment vertical="top"/>
    </xf>
    <xf numFmtId="0" fontId="0" fillId="4" borderId="1" xfId="0" applyFill="1" applyBorder="1" applyAlignment="1" applyProtection="1">
      <alignment vertical="top"/>
    </xf>
    <xf numFmtId="0" fontId="4" fillId="10" borderId="17" xfId="0" applyFont="1" applyFill="1" applyBorder="1" applyAlignment="1" applyProtection="1">
      <alignment vertical="top"/>
    </xf>
    <xf numFmtId="168" fontId="13" fillId="7" borderId="0" xfId="0" applyNumberFormat="1" applyFont="1" applyFill="1" applyAlignment="1" applyProtection="1"/>
    <xf numFmtId="0" fontId="0" fillId="0" borderId="0" xfId="0" applyBorder="1" applyAlignment="1">
      <alignment vertical="top"/>
    </xf>
    <xf numFmtId="0" fontId="16" fillId="0" borderId="0" xfId="0" applyFont="1" applyBorder="1" applyAlignment="1" applyProtection="1">
      <alignment vertical="top"/>
      <protection locked="0"/>
    </xf>
    <xf numFmtId="0" fontId="0" fillId="0" borderId="0" xfId="0" applyFont="1" applyBorder="1" applyAlignment="1">
      <alignment vertical="center"/>
    </xf>
    <xf numFmtId="0" fontId="33" fillId="0" borderId="34" xfId="0" applyFont="1" applyBorder="1" applyAlignment="1" applyProtection="1">
      <alignment vertical="center"/>
      <protection locked="0"/>
    </xf>
    <xf numFmtId="0" fontId="34" fillId="0" borderId="34" xfId="0" applyFont="1" applyBorder="1" applyAlignment="1" applyProtection="1">
      <alignment vertical="center"/>
      <protection locked="0"/>
    </xf>
    <xf numFmtId="0" fontId="33" fillId="0" borderId="30" xfId="0" applyFont="1" applyBorder="1" applyAlignment="1">
      <alignment vertical="center"/>
    </xf>
    <xf numFmtId="0" fontId="34" fillId="0" borderId="30" xfId="0" applyFont="1" applyBorder="1" applyAlignment="1">
      <alignment vertical="center"/>
    </xf>
    <xf numFmtId="165" fontId="4" fillId="2" borderId="0" xfId="0" applyNumberFormat="1" applyFont="1" applyFill="1" applyBorder="1" applyAlignment="1">
      <alignment vertical="center" shrinkToFit="1"/>
    </xf>
    <xf numFmtId="0" fontId="4" fillId="0" borderId="0" xfId="0" applyFont="1" applyAlignment="1">
      <alignment vertical="center"/>
    </xf>
    <xf numFmtId="0" fontId="0" fillId="0" borderId="18" xfId="0" applyFont="1" applyBorder="1" applyAlignment="1">
      <alignment vertical="center"/>
    </xf>
    <xf numFmtId="0" fontId="0" fillId="0" borderId="16" xfId="0" applyFont="1" applyBorder="1" applyAlignment="1">
      <alignment vertical="center"/>
    </xf>
    <xf numFmtId="0" fontId="0" fillId="0" borderId="1" xfId="0" applyFont="1" applyBorder="1" applyAlignment="1" applyProtection="1">
      <alignment horizontal="left" vertical="top"/>
      <protection locked="0"/>
    </xf>
    <xf numFmtId="0" fontId="24" fillId="0" borderId="30" xfId="0" applyFont="1" applyBorder="1" applyAlignment="1">
      <alignment vertical="center"/>
    </xf>
    <xf numFmtId="168" fontId="4" fillId="0" borderId="59" xfId="0" applyNumberFormat="1" applyFont="1" applyFill="1" applyBorder="1" applyAlignment="1" applyProtection="1">
      <alignment vertical="center" shrinkToFit="1"/>
      <protection locked="0"/>
    </xf>
    <xf numFmtId="168" fontId="4" fillId="0" borderId="73" xfId="0" applyNumberFormat="1" applyFont="1" applyFill="1" applyBorder="1" applyAlignment="1" applyProtection="1">
      <alignment vertical="center" shrinkToFit="1"/>
      <protection locked="0"/>
    </xf>
    <xf numFmtId="168" fontId="4" fillId="0" borderId="30" xfId="0" applyNumberFormat="1" applyFont="1" applyFill="1" applyBorder="1" applyAlignment="1" applyProtection="1">
      <alignment horizontal="center" vertical="top"/>
    </xf>
    <xf numFmtId="168" fontId="4" fillId="12" borderId="40" xfId="0" applyNumberFormat="1" applyFont="1" applyFill="1" applyBorder="1" applyAlignment="1" applyProtection="1">
      <alignment horizontal="center" vertical="top"/>
    </xf>
    <xf numFmtId="168" fontId="4" fillId="12" borderId="72" xfId="0" applyNumberFormat="1" applyFont="1" applyFill="1" applyBorder="1" applyAlignment="1" applyProtection="1">
      <alignment horizontal="center" vertical="top"/>
    </xf>
    <xf numFmtId="168" fontId="4" fillId="13" borderId="30" xfId="0" applyNumberFormat="1" applyFont="1" applyFill="1" applyBorder="1" applyAlignment="1" applyProtection="1">
      <alignment horizontal="center" vertical="top"/>
    </xf>
    <xf numFmtId="168" fontId="4" fillId="14" borderId="40" xfId="0" applyNumberFormat="1" applyFont="1" applyFill="1" applyBorder="1" applyAlignment="1" applyProtection="1">
      <alignment horizontal="center" vertical="top"/>
    </xf>
    <xf numFmtId="168" fontId="4" fillId="0" borderId="40" xfId="0" applyNumberFormat="1" applyFont="1" applyFill="1" applyBorder="1" applyAlignment="1" applyProtection="1">
      <alignment horizontal="center" vertical="top" shrinkToFit="1"/>
    </xf>
    <xf numFmtId="168" fontId="4" fillId="15" borderId="30" xfId="0" applyNumberFormat="1" applyFont="1" applyFill="1" applyBorder="1" applyAlignment="1" applyProtection="1">
      <alignment horizontal="center" vertical="top"/>
    </xf>
    <xf numFmtId="168" fontId="4" fillId="15" borderId="40" xfId="0" applyNumberFormat="1" applyFont="1" applyFill="1" applyBorder="1" applyAlignment="1" applyProtection="1">
      <alignment horizontal="center" vertical="top"/>
    </xf>
    <xf numFmtId="168" fontId="4" fillId="0" borderId="0" xfId="0" applyNumberFormat="1" applyFont="1" applyFill="1" applyAlignment="1" applyProtection="1">
      <alignment vertical="center"/>
    </xf>
    <xf numFmtId="168" fontId="4" fillId="0" borderId="0" xfId="0" applyNumberFormat="1" applyFont="1" applyProtection="1"/>
    <xf numFmtId="168" fontId="4" fillId="0" borderId="30" xfId="0" applyNumberFormat="1" applyFont="1" applyBorder="1" applyAlignment="1" applyProtection="1">
      <alignment vertical="top"/>
    </xf>
    <xf numFmtId="168" fontId="4" fillId="0" borderId="40" xfId="0" applyNumberFormat="1" applyFont="1" applyFill="1" applyBorder="1" applyAlignment="1" applyProtection="1">
      <alignment vertical="top"/>
    </xf>
    <xf numFmtId="0" fontId="12" fillId="6" borderId="0" xfId="0" applyNumberFormat="1" applyFont="1" applyFill="1" applyBorder="1" applyAlignment="1" applyProtection="1">
      <alignment horizontal="center"/>
      <protection locked="0"/>
    </xf>
    <xf numFmtId="0" fontId="18" fillId="0" borderId="82" xfId="0" applyNumberFormat="1" applyFont="1" applyBorder="1" applyAlignment="1" applyProtection="1">
      <alignment horizontal="center" vertical="top"/>
      <protection locked="0"/>
    </xf>
    <xf numFmtId="0" fontId="18" fillId="0" borderId="29" xfId="0" applyNumberFormat="1" applyFont="1" applyBorder="1" applyAlignment="1" applyProtection="1">
      <alignment horizontal="center" vertical="top"/>
      <protection locked="0"/>
    </xf>
    <xf numFmtId="0" fontId="19" fillId="0" borderId="29" xfId="0" applyNumberFormat="1" applyFont="1" applyBorder="1" applyAlignment="1" applyProtection="1">
      <alignment horizontal="center" vertical="top"/>
      <protection locked="0"/>
    </xf>
    <xf numFmtId="0" fontId="18" fillId="0" borderId="29" xfId="0" applyNumberFormat="1" applyFont="1" applyFill="1" applyBorder="1" applyAlignment="1" applyProtection="1">
      <alignment horizontal="center" vertical="top"/>
      <protection locked="0"/>
    </xf>
    <xf numFmtId="0" fontId="18" fillId="0" borderId="16" xfId="0" applyNumberFormat="1" applyFont="1" applyBorder="1" applyAlignment="1" applyProtection="1">
      <alignment horizontal="center" vertical="top"/>
      <protection locked="0"/>
    </xf>
    <xf numFmtId="0" fontId="18" fillId="0" borderId="0" xfId="0" applyNumberFormat="1" applyFont="1" applyBorder="1" applyAlignment="1" applyProtection="1">
      <alignment horizontal="center" vertical="top"/>
      <protection locked="0"/>
    </xf>
    <xf numFmtId="1" fontId="0" fillId="0" borderId="1" xfId="0" applyNumberFormat="1" applyFont="1" applyBorder="1" applyAlignment="1" applyProtection="1">
      <alignment horizontal="center" vertical="top"/>
      <protection locked="0"/>
    </xf>
    <xf numFmtId="1" fontId="8" fillId="0" borderId="1" xfId="0" applyNumberFormat="1" applyFont="1" applyBorder="1" applyAlignment="1" applyProtection="1">
      <alignment horizontal="center" vertical="top"/>
      <protection locked="0"/>
    </xf>
    <xf numFmtId="0" fontId="18" fillId="0" borderId="16" xfId="0" applyNumberFormat="1" applyFont="1" applyFill="1" applyBorder="1" applyAlignment="1" applyProtection="1">
      <alignment horizontal="center" vertical="top"/>
      <protection locked="0"/>
    </xf>
    <xf numFmtId="0" fontId="18" fillId="0" borderId="85" xfId="0" applyNumberFormat="1" applyFont="1" applyBorder="1" applyAlignment="1" applyProtection="1">
      <alignment horizontal="center" vertical="top"/>
      <protection locked="0"/>
    </xf>
    <xf numFmtId="0" fontId="18" fillId="0" borderId="86" xfId="0" applyNumberFormat="1" applyFont="1" applyBorder="1" applyAlignment="1" applyProtection="1">
      <alignment horizontal="center" vertical="top"/>
      <protection locked="0"/>
    </xf>
    <xf numFmtId="0" fontId="18" fillId="8" borderId="85" xfId="0" applyNumberFormat="1" applyFont="1" applyFill="1" applyBorder="1" applyAlignment="1" applyProtection="1">
      <alignment horizontal="center" vertical="top"/>
      <protection locked="0"/>
    </xf>
    <xf numFmtId="0" fontId="18" fillId="0" borderId="87" xfId="0" applyNumberFormat="1" applyFont="1" applyBorder="1" applyAlignment="1" applyProtection="1">
      <alignment horizontal="center" vertical="top"/>
      <protection locked="0"/>
    </xf>
    <xf numFmtId="0" fontId="18" fillId="0" borderId="88" xfId="0" applyNumberFormat="1" applyFont="1" applyBorder="1" applyAlignment="1" applyProtection="1">
      <alignment horizontal="center" vertical="top"/>
      <protection locked="0"/>
    </xf>
    <xf numFmtId="0" fontId="18" fillId="0" borderId="1" xfId="0" applyNumberFormat="1" applyFont="1" applyBorder="1" applyAlignment="1" applyProtection="1">
      <alignment horizontal="center" vertical="top"/>
      <protection locked="0"/>
    </xf>
    <xf numFmtId="0" fontId="18" fillId="0" borderId="17" xfId="0" applyNumberFormat="1" applyFont="1" applyBorder="1" applyAlignment="1" applyProtection="1">
      <alignment horizontal="center" vertical="top"/>
      <protection locked="0"/>
    </xf>
    <xf numFmtId="0" fontId="18" fillId="0" borderId="17" xfId="0" applyNumberFormat="1" applyFont="1" applyFill="1" applyBorder="1" applyAlignment="1" applyProtection="1">
      <alignment horizontal="center" vertical="top"/>
      <protection locked="0"/>
    </xf>
    <xf numFmtId="0" fontId="8" fillId="0" borderId="79" xfId="0" applyFont="1" applyBorder="1" applyAlignment="1" applyProtection="1">
      <alignment horizontal="center" vertical="top"/>
      <protection locked="0"/>
    </xf>
    <xf numFmtId="0" fontId="19" fillId="0" borderId="1" xfId="0" applyNumberFormat="1" applyFont="1" applyBorder="1" applyAlignment="1" applyProtection="1">
      <alignment horizontal="center" vertical="top"/>
      <protection locked="0"/>
    </xf>
    <xf numFmtId="0" fontId="18" fillId="0" borderId="1" xfId="0" applyNumberFormat="1" applyFont="1" applyBorder="1" applyAlignment="1" applyProtection="1">
      <alignment horizontal="center" vertical="top"/>
    </xf>
    <xf numFmtId="0" fontId="19" fillId="0" borderId="1" xfId="0" applyNumberFormat="1" applyFont="1" applyBorder="1" applyAlignment="1" applyProtection="1">
      <alignment horizontal="center" vertical="top"/>
    </xf>
    <xf numFmtId="0" fontId="41" fillId="0" borderId="1" xfId="0" applyNumberFormat="1" applyFont="1" applyBorder="1" applyAlignment="1" applyProtection="1">
      <alignment horizontal="center" vertical="top"/>
    </xf>
    <xf numFmtId="165" fontId="0" fillId="6" borderId="0" xfId="0" applyNumberFormat="1" applyFont="1" applyFill="1" applyBorder="1" applyAlignment="1" applyProtection="1">
      <alignment horizontal="left" vertical="top" textRotation="90"/>
      <protection locked="0"/>
    </xf>
    <xf numFmtId="0" fontId="29" fillId="0" borderId="0" xfId="0" applyFont="1" applyAlignment="1" applyProtection="1">
      <alignment vertical="top"/>
      <protection locked="0"/>
    </xf>
    <xf numFmtId="0" fontId="29" fillId="0" borderId="1" xfId="0" applyFont="1" applyFill="1" applyBorder="1" applyAlignment="1" applyProtection="1">
      <alignment vertical="top"/>
      <protection locked="0"/>
    </xf>
    <xf numFmtId="0" fontId="29" fillId="9" borderId="1" xfId="0" applyFont="1" applyFill="1" applyBorder="1" applyAlignment="1" applyProtection="1">
      <alignment vertical="top"/>
      <protection locked="0"/>
    </xf>
    <xf numFmtId="0" fontId="29" fillId="0" borderId="1" xfId="0" applyFont="1" applyBorder="1" applyAlignment="1" applyProtection="1">
      <alignment vertical="top"/>
      <protection locked="0"/>
    </xf>
    <xf numFmtId="0" fontId="29" fillId="0" borderId="2" xfId="0" applyFont="1" applyBorder="1" applyAlignment="1" applyProtection="1">
      <alignment horizontal="left" vertical="top"/>
      <protection locked="0"/>
    </xf>
    <xf numFmtId="1" fontId="29" fillId="0" borderId="1" xfId="0" applyNumberFormat="1" applyFont="1" applyBorder="1" applyAlignment="1" applyProtection="1">
      <alignment horizontal="center" vertical="top"/>
      <protection locked="0"/>
    </xf>
    <xf numFmtId="0" fontId="44" fillId="0" borderId="1" xfId="0" applyNumberFormat="1" applyFont="1" applyBorder="1" applyAlignment="1" applyProtection="1">
      <alignment horizontal="center" vertical="top"/>
      <protection locked="0"/>
    </xf>
    <xf numFmtId="0" fontId="29" fillId="0" borderId="79" xfId="0" applyFont="1" applyBorder="1" applyAlignment="1" applyProtection="1">
      <alignment horizontal="center" vertical="top"/>
      <protection locked="0"/>
    </xf>
    <xf numFmtId="0" fontId="0" fillId="0" borderId="1" xfId="0" quotePrefix="1" applyFill="1" applyBorder="1" applyAlignment="1">
      <alignment vertical="top"/>
    </xf>
    <xf numFmtId="0" fontId="0" fillId="4" borderId="17" xfId="0" applyFill="1" applyBorder="1" applyAlignment="1" applyProtection="1">
      <alignment horizontal="left" vertical="top"/>
    </xf>
    <xf numFmtId="0" fontId="0" fillId="0" borderId="0" xfId="0" applyFont="1" applyAlignment="1">
      <alignment horizontal="left" vertical="top"/>
    </xf>
    <xf numFmtId="0" fontId="4" fillId="16" borderId="1" xfId="0" applyFont="1" applyFill="1" applyBorder="1" applyAlignment="1" applyProtection="1">
      <alignment vertical="top"/>
    </xf>
    <xf numFmtId="0" fontId="0" fillId="0" borderId="47" xfId="0" applyFont="1" applyBorder="1" applyAlignment="1" applyProtection="1">
      <alignment horizontal="center" vertical="top"/>
      <protection locked="0"/>
    </xf>
    <xf numFmtId="0" fontId="8" fillId="0" borderId="47" xfId="0" applyFont="1" applyBorder="1" applyAlignment="1" applyProtection="1">
      <alignment horizontal="center" vertical="top"/>
      <protection locked="0"/>
    </xf>
    <xf numFmtId="168" fontId="0" fillId="20" borderId="30" xfId="0" applyNumberFormat="1" applyFill="1" applyBorder="1" applyAlignment="1" applyProtection="1">
      <alignment horizontal="center" vertical="top"/>
    </xf>
    <xf numFmtId="168" fontId="0" fillId="20" borderId="30" xfId="0" applyNumberFormat="1" applyFill="1" applyBorder="1" applyAlignment="1" applyProtection="1">
      <alignment vertical="top"/>
    </xf>
    <xf numFmtId="168" fontId="0" fillId="20" borderId="30" xfId="0" applyNumberFormat="1" applyFont="1" applyFill="1" applyBorder="1" applyAlignment="1" applyProtection="1">
      <alignment vertical="top" shrinkToFit="1"/>
    </xf>
    <xf numFmtId="168" fontId="0" fillId="20" borderId="59" xfId="0" applyNumberFormat="1" applyFont="1" applyFill="1" applyBorder="1" applyAlignment="1" applyProtection="1">
      <alignment vertical="center" shrinkToFit="1"/>
      <protection locked="0"/>
    </xf>
    <xf numFmtId="168" fontId="15" fillId="20" borderId="59" xfId="0" applyNumberFormat="1" applyFont="1" applyFill="1" applyBorder="1" applyAlignment="1" applyProtection="1">
      <alignment vertical="center" shrinkToFit="1"/>
      <protection locked="0"/>
    </xf>
    <xf numFmtId="168" fontId="4" fillId="20" borderId="30" xfId="0" applyNumberFormat="1" applyFont="1" applyFill="1" applyBorder="1" applyAlignment="1" applyProtection="1">
      <alignment horizontal="center" vertical="top"/>
    </xf>
    <xf numFmtId="169" fontId="0" fillId="8" borderId="76" xfId="0" applyNumberFormat="1" applyFont="1" applyFill="1" applyBorder="1" applyAlignment="1" applyProtection="1">
      <alignment horizontal="center" vertical="top" shrinkToFit="1"/>
    </xf>
    <xf numFmtId="169" fontId="8" fillId="8" borderId="84" xfId="0" applyNumberFormat="1" applyFont="1" applyFill="1" applyBorder="1" applyAlignment="1" applyProtection="1">
      <alignment horizontal="center" vertical="top"/>
    </xf>
    <xf numFmtId="169" fontId="0" fillId="8" borderId="16" xfId="0" applyNumberFormat="1" applyFont="1" applyFill="1" applyBorder="1" applyAlignment="1" applyProtection="1">
      <alignment horizontal="center" vertical="top" shrinkToFit="1"/>
    </xf>
    <xf numFmtId="169" fontId="0" fillId="8" borderId="17" xfId="0" applyNumberFormat="1" applyFill="1" applyBorder="1" applyAlignment="1" applyProtection="1">
      <alignment horizontal="center" vertical="top"/>
    </xf>
    <xf numFmtId="169" fontId="8" fillId="8" borderId="16" xfId="0" applyNumberFormat="1" applyFont="1" applyFill="1" applyBorder="1" applyAlignment="1" applyProtection="1">
      <alignment horizontal="center" vertical="top"/>
    </xf>
    <xf numFmtId="169" fontId="8" fillId="0" borderId="16" xfId="0" applyNumberFormat="1" applyFont="1" applyFill="1" applyBorder="1" applyAlignment="1" applyProtection="1">
      <alignment horizontal="center" vertical="top"/>
    </xf>
    <xf numFmtId="169" fontId="0" fillId="8" borderId="2" xfId="0" applyNumberFormat="1" applyFont="1" applyFill="1" applyBorder="1" applyAlignment="1" applyProtection="1">
      <alignment horizontal="center" vertical="top" shrinkToFit="1"/>
    </xf>
    <xf numFmtId="169" fontId="8"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shrinkToFit="1"/>
    </xf>
    <xf numFmtId="169" fontId="0" fillId="8" borderId="1" xfId="0" applyNumberFormat="1" applyFill="1" applyBorder="1" applyAlignment="1" applyProtection="1">
      <alignment horizontal="center" vertical="top"/>
    </xf>
    <xf numFmtId="169" fontId="8" fillId="8" borderId="0" xfId="0" applyNumberFormat="1" applyFont="1" applyFill="1" applyBorder="1" applyAlignment="1" applyProtection="1">
      <alignment horizontal="center" vertical="top"/>
    </xf>
    <xf numFmtId="169" fontId="8" fillId="0" borderId="81" xfId="0" applyNumberFormat="1" applyFont="1" applyFill="1" applyBorder="1" applyAlignment="1" applyProtection="1">
      <alignment horizontal="center" vertical="top"/>
    </xf>
    <xf numFmtId="169" fontId="4" fillId="8" borderId="1" xfId="0" applyNumberFormat="1" applyFont="1" applyFill="1" applyBorder="1" applyAlignment="1" applyProtection="1">
      <alignment horizontal="center" vertical="top"/>
    </xf>
    <xf numFmtId="169" fontId="8" fillId="0" borderId="29" xfId="0" applyNumberFormat="1" applyFont="1" applyFill="1" applyBorder="1" applyAlignment="1" applyProtection="1">
      <alignment horizontal="center" vertical="top"/>
    </xf>
    <xf numFmtId="169" fontId="0" fillId="8" borderId="1" xfId="0" applyNumberFormat="1" applyFont="1" applyFill="1" applyBorder="1" applyAlignment="1" applyProtection="1">
      <alignment horizontal="center" vertical="top"/>
    </xf>
    <xf numFmtId="169" fontId="0" fillId="0" borderId="1" xfId="0" applyNumberFormat="1" applyFont="1" applyFill="1" applyBorder="1" applyAlignment="1" applyProtection="1">
      <alignment horizontal="center" vertical="top"/>
    </xf>
    <xf numFmtId="169" fontId="8" fillId="8" borderId="29" xfId="0" applyNumberFormat="1" applyFont="1" applyFill="1" applyBorder="1" applyAlignment="1" applyProtection="1">
      <alignment horizontal="center" vertical="top"/>
    </xf>
    <xf numFmtId="169" fontId="8" fillId="8" borderId="17" xfId="0" applyNumberFormat="1" applyFont="1" applyFill="1" applyBorder="1" applyAlignment="1" applyProtection="1">
      <alignment horizontal="center" vertical="top"/>
    </xf>
    <xf numFmtId="169" fontId="0" fillId="0" borderId="17" xfId="0" applyNumberFormat="1" applyFill="1" applyBorder="1" applyAlignment="1" applyProtection="1">
      <alignment horizontal="center" vertical="top"/>
    </xf>
    <xf numFmtId="169" fontId="8" fillId="0" borderId="16" xfId="0" applyNumberFormat="1" applyFont="1" applyBorder="1" applyAlignment="1" applyProtection="1">
      <alignment horizontal="center" vertical="top"/>
    </xf>
    <xf numFmtId="169" fontId="8" fillId="0" borderId="82" xfId="0" applyNumberFormat="1" applyFont="1" applyFill="1" applyBorder="1" applyAlignment="1" applyProtection="1">
      <alignment horizontal="center" vertical="top"/>
    </xf>
    <xf numFmtId="169" fontId="8" fillId="0" borderId="1" xfId="0" applyNumberFormat="1" applyFont="1" applyBorder="1" applyAlignment="1" applyProtection="1">
      <alignment horizontal="center" vertical="top"/>
    </xf>
    <xf numFmtId="169" fontId="0" fillId="15" borderId="1" xfId="0" applyNumberFormat="1" applyFill="1" applyBorder="1" applyAlignment="1" applyProtection="1">
      <alignment horizontal="center" vertical="top"/>
    </xf>
    <xf numFmtId="169" fontId="8" fillId="0" borderId="0" xfId="0" applyNumberFormat="1" applyFont="1" applyBorder="1" applyAlignment="1" applyProtection="1">
      <alignment horizontal="center" vertical="top"/>
    </xf>
    <xf numFmtId="169" fontId="0" fillId="8" borderId="2" xfId="0" applyNumberFormat="1" applyFill="1" applyBorder="1" applyAlignment="1" applyProtection="1">
      <alignment horizontal="center" vertical="top"/>
    </xf>
    <xf numFmtId="169" fontId="0" fillId="0" borderId="1" xfId="0" applyNumberFormat="1" applyFill="1" applyBorder="1" applyAlignment="1" applyProtection="1">
      <alignment horizontal="center" vertical="top"/>
    </xf>
    <xf numFmtId="169" fontId="4" fillId="8" borderId="17" xfId="0" applyNumberFormat="1" applyFont="1" applyFill="1" applyBorder="1" applyAlignment="1" applyProtection="1">
      <alignment horizontal="center" vertical="top"/>
    </xf>
    <xf numFmtId="169" fontId="4" fillId="0" borderId="17" xfId="0" applyNumberFormat="1" applyFont="1" applyFill="1" applyBorder="1" applyAlignment="1" applyProtection="1">
      <alignment horizontal="center" vertical="top"/>
    </xf>
    <xf numFmtId="169" fontId="8" fillId="8" borderId="19" xfId="0" applyNumberFormat="1" applyFont="1" applyFill="1" applyBorder="1" applyAlignment="1" applyProtection="1">
      <alignment horizontal="center" vertical="top"/>
    </xf>
    <xf numFmtId="169" fontId="0" fillId="0" borderId="19" xfId="0" applyNumberFormat="1" applyFill="1" applyBorder="1" applyAlignment="1" applyProtection="1">
      <alignment horizontal="center" vertical="top"/>
    </xf>
    <xf numFmtId="169" fontId="8" fillId="0" borderId="18" xfId="0" applyNumberFormat="1" applyFont="1" applyFill="1" applyBorder="1" applyAlignment="1" applyProtection="1">
      <alignment horizontal="center" vertical="top"/>
    </xf>
    <xf numFmtId="169" fontId="8" fillId="0" borderId="1" xfId="0" applyNumberFormat="1" applyFont="1" applyFill="1" applyBorder="1" applyAlignment="1" applyProtection="1">
      <alignment horizontal="center" vertical="top"/>
    </xf>
    <xf numFmtId="169" fontId="8" fillId="0" borderId="0" xfId="0" applyNumberFormat="1" applyFont="1" applyFill="1" applyBorder="1" applyAlignment="1" applyProtection="1">
      <alignment horizontal="center" vertical="top"/>
    </xf>
    <xf numFmtId="169" fontId="5" fillId="8" borderId="1" xfId="1" applyNumberFormat="1" applyFont="1" applyFill="1" applyBorder="1" applyAlignment="1" applyProtection="1">
      <alignment horizontal="center" vertical="top" wrapText="1"/>
    </xf>
    <xf numFmtId="169" fontId="25"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shrinkToFit="1"/>
      <protection locked="0"/>
    </xf>
    <xf numFmtId="169" fontId="6"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xf>
    <xf numFmtId="169" fontId="4" fillId="8" borderId="0" xfId="0" applyNumberFormat="1" applyFont="1" applyFill="1" applyBorder="1" applyAlignment="1" applyProtection="1">
      <alignment horizontal="center" vertical="top" shrinkToFit="1"/>
    </xf>
    <xf numFmtId="169" fontId="0" fillId="0" borderId="1" xfId="0" applyNumberFormat="1" applyBorder="1" applyAlignment="1" applyProtection="1">
      <alignment horizontal="center" vertical="top"/>
    </xf>
    <xf numFmtId="169" fontId="16" fillId="0" borderId="1" xfId="0" applyNumberFormat="1" applyFont="1" applyFill="1" applyBorder="1" applyAlignment="1" applyProtection="1">
      <alignment horizontal="center" vertical="top"/>
    </xf>
    <xf numFmtId="169" fontId="16" fillId="0" borderId="0" xfId="0" applyNumberFormat="1" applyFont="1" applyFill="1" applyBorder="1" applyAlignment="1" applyProtection="1">
      <alignment horizontal="center" vertical="top"/>
    </xf>
    <xf numFmtId="169" fontId="4" fillId="0" borderId="1" xfId="0" applyNumberFormat="1" applyFont="1" applyFill="1" applyBorder="1" applyAlignment="1" applyProtection="1">
      <alignment horizontal="center" vertical="top"/>
    </xf>
    <xf numFmtId="169" fontId="4" fillId="4" borderId="1" xfId="0" applyNumberFormat="1" applyFont="1" applyFill="1" applyBorder="1" applyAlignment="1" applyProtection="1">
      <alignment horizontal="center" vertical="top"/>
    </xf>
    <xf numFmtId="169" fontId="0" fillId="0" borderId="38" xfId="0" applyNumberFormat="1" applyFont="1" applyFill="1" applyBorder="1" applyAlignment="1" applyProtection="1">
      <alignment horizontal="center" vertical="top"/>
    </xf>
    <xf numFmtId="169" fontId="8" fillId="0" borderId="17" xfId="0" applyNumberFormat="1" applyFont="1" applyBorder="1" applyAlignment="1" applyProtection="1">
      <alignment horizontal="center" vertical="top"/>
    </xf>
    <xf numFmtId="169" fontId="4" fillId="0" borderId="17" xfId="0" applyNumberFormat="1" applyFont="1" applyBorder="1" applyAlignment="1" applyProtection="1">
      <alignment horizontal="center" vertical="top"/>
    </xf>
    <xf numFmtId="169" fontId="0" fillId="0" borderId="17" xfId="0" applyNumberFormat="1" applyBorder="1" applyAlignment="1" applyProtection="1">
      <alignment horizontal="center" vertical="top"/>
    </xf>
    <xf numFmtId="169" fontId="16" fillId="0" borderId="38" xfId="0" applyNumberFormat="1" applyFont="1" applyFill="1" applyBorder="1" applyAlignment="1" applyProtection="1">
      <alignment horizontal="center" vertical="top" shrinkToFit="1"/>
    </xf>
    <xf numFmtId="169" fontId="16" fillId="0" borderId="16" xfId="0" applyNumberFormat="1" applyFont="1" applyFill="1" applyBorder="1" applyAlignment="1" applyProtection="1">
      <alignment horizontal="center" vertical="top" shrinkToFit="1"/>
    </xf>
    <xf numFmtId="169" fontId="16" fillId="0" borderId="17" xfId="0" applyNumberFormat="1" applyFont="1" applyBorder="1" applyAlignment="1" applyProtection="1">
      <alignment horizontal="center" vertical="top"/>
    </xf>
    <xf numFmtId="169" fontId="16" fillId="0" borderId="1" xfId="0" applyNumberFormat="1" applyFont="1" applyBorder="1" applyAlignment="1" applyProtection="1">
      <alignment horizontal="center" vertical="top"/>
    </xf>
    <xf numFmtId="169" fontId="16" fillId="0" borderId="0" xfId="0" applyNumberFormat="1" applyFont="1" applyBorder="1" applyAlignment="1" applyProtection="1">
      <alignment horizontal="center" vertical="top"/>
    </xf>
    <xf numFmtId="169" fontId="0" fillId="14" borderId="2" xfId="0" applyNumberFormat="1" applyFont="1" applyFill="1" applyBorder="1" applyAlignment="1" applyProtection="1">
      <alignment horizontal="center" vertical="top" shrinkToFit="1"/>
    </xf>
    <xf numFmtId="169" fontId="0" fillId="14" borderId="16" xfId="0" applyNumberFormat="1" applyFont="1" applyFill="1" applyBorder="1" applyAlignment="1" applyProtection="1">
      <alignment horizontal="center" vertical="top" shrinkToFit="1"/>
    </xf>
    <xf numFmtId="169" fontId="0" fillId="8" borderId="52" xfId="0" applyNumberFormat="1" applyFont="1" applyFill="1" applyBorder="1" applyAlignment="1" applyProtection="1">
      <alignment horizontal="center" vertical="top" shrinkToFit="1"/>
    </xf>
    <xf numFmtId="169" fontId="0" fillId="8" borderId="66" xfId="0" applyNumberFormat="1" applyFont="1" applyFill="1" applyBorder="1" applyAlignment="1" applyProtection="1">
      <alignment horizontal="center" vertical="top"/>
    </xf>
    <xf numFmtId="169" fontId="0" fillId="0" borderId="28" xfId="0" applyNumberFormat="1" applyFont="1" applyBorder="1" applyAlignment="1" applyProtection="1">
      <alignment horizontal="center" vertical="top"/>
    </xf>
    <xf numFmtId="169" fontId="0" fillId="0" borderId="1" xfId="0" applyNumberFormat="1" applyBorder="1" applyAlignment="1">
      <alignment horizontal="center" vertical="top"/>
    </xf>
    <xf numFmtId="169" fontId="0" fillId="14" borderId="0" xfId="0" applyNumberFormat="1" applyFont="1" applyFill="1" applyBorder="1" applyAlignment="1" applyProtection="1">
      <alignment horizontal="center" vertical="top" shrinkToFit="1"/>
    </xf>
    <xf numFmtId="169" fontId="0" fillId="14" borderId="38" xfId="0" applyNumberFormat="1" applyFont="1" applyFill="1" applyBorder="1" applyAlignment="1" applyProtection="1">
      <alignment horizontal="center" vertical="top" shrinkToFit="1"/>
    </xf>
    <xf numFmtId="169" fontId="0" fillId="15" borderId="17" xfId="0" applyNumberFormat="1" applyFill="1" applyBorder="1" applyAlignment="1" applyProtection="1">
      <alignment horizontal="center" vertical="top"/>
    </xf>
    <xf numFmtId="169" fontId="0" fillId="8" borderId="38" xfId="0" applyNumberFormat="1" applyFont="1" applyFill="1" applyBorder="1" applyAlignment="1" applyProtection="1">
      <alignment horizontal="center" vertical="top" shrinkToFit="1"/>
    </xf>
    <xf numFmtId="169" fontId="8" fillId="0" borderId="17" xfId="0" applyNumberFormat="1" applyFont="1" applyFill="1" applyBorder="1" applyAlignment="1" applyProtection="1">
      <alignment horizontal="center" vertical="top"/>
    </xf>
    <xf numFmtId="169" fontId="0" fillId="0" borderId="17" xfId="0" applyNumberFormat="1" applyFont="1" applyFill="1" applyBorder="1" applyAlignment="1" applyProtection="1">
      <alignment horizontal="center" vertical="top"/>
    </xf>
    <xf numFmtId="169" fontId="29" fillId="0" borderId="1" xfId="0" applyNumberFormat="1" applyFont="1" applyBorder="1" applyAlignment="1" applyProtection="1">
      <alignment horizontal="center" vertical="top"/>
    </xf>
    <xf numFmtId="169" fontId="29" fillId="0" borderId="1" xfId="0" applyNumberFormat="1" applyFont="1" applyFill="1" applyBorder="1" applyAlignment="1" applyProtection="1">
      <alignment horizontal="center" vertical="top"/>
    </xf>
    <xf numFmtId="169" fontId="29" fillId="0" borderId="0" xfId="0" applyNumberFormat="1" applyFont="1" applyBorder="1" applyAlignment="1" applyProtection="1">
      <alignment horizontal="center" vertical="top"/>
    </xf>
    <xf numFmtId="169" fontId="4" fillId="8" borderId="38" xfId="0" applyNumberFormat="1" applyFont="1" applyFill="1" applyBorder="1" applyAlignment="1" applyProtection="1">
      <alignment horizontal="center" vertical="top" shrinkToFit="1"/>
    </xf>
    <xf numFmtId="169" fontId="8" fillId="0" borderId="19" xfId="0" applyNumberFormat="1" applyFont="1" applyFill="1" applyBorder="1" applyAlignment="1" applyProtection="1">
      <alignment horizontal="center" vertical="top"/>
    </xf>
    <xf numFmtId="169" fontId="4" fillId="8" borderId="52" xfId="0" applyNumberFormat="1" applyFont="1" applyFill="1" applyBorder="1" applyAlignment="1" applyProtection="1">
      <alignment horizontal="center" vertical="top" shrinkToFit="1"/>
    </xf>
    <xf numFmtId="169" fontId="0" fillId="8" borderId="28" xfId="0" applyNumberFormat="1" applyFont="1" applyFill="1" applyBorder="1" applyAlignment="1" applyProtection="1">
      <alignment horizontal="center" vertical="top" shrinkToFit="1"/>
    </xf>
    <xf numFmtId="169" fontId="16" fillId="8" borderId="2" xfId="0" applyNumberFormat="1" applyFont="1" applyFill="1" applyBorder="1" applyAlignment="1" applyProtection="1">
      <alignment horizontal="center" vertical="top" shrinkToFit="1"/>
    </xf>
    <xf numFmtId="169" fontId="22" fillId="0" borderId="0" xfId="0" applyNumberFormat="1" applyFont="1" applyFill="1" applyBorder="1" applyAlignment="1" applyProtection="1">
      <alignment horizontal="center" vertical="top" shrinkToFit="1"/>
    </xf>
    <xf numFmtId="169" fontId="0" fillId="8" borderId="2" xfId="0" applyNumberFormat="1" applyFill="1" applyBorder="1" applyAlignment="1">
      <alignment horizontal="center" vertical="top"/>
    </xf>
    <xf numFmtId="169" fontId="4" fillId="8" borderId="2" xfId="0" applyNumberFormat="1" applyFont="1" applyFill="1" applyBorder="1" applyAlignment="1">
      <alignment horizontal="center" vertical="top"/>
    </xf>
    <xf numFmtId="169" fontId="0" fillId="8" borderId="29" xfId="0" applyNumberFormat="1" applyFont="1" applyFill="1" applyBorder="1" applyAlignment="1">
      <alignment horizontal="center" vertical="top"/>
    </xf>
    <xf numFmtId="169" fontId="0" fillId="0" borderId="1" xfId="0" applyNumberFormat="1" applyFont="1" applyFill="1" applyBorder="1" applyAlignment="1">
      <alignment horizontal="center" vertical="top"/>
    </xf>
    <xf numFmtId="169" fontId="0" fillId="0" borderId="1" xfId="0" applyNumberFormat="1" applyFont="1" applyBorder="1" applyAlignment="1">
      <alignment horizontal="center" vertical="top"/>
    </xf>
    <xf numFmtId="169" fontId="0" fillId="8" borderId="1" xfId="0" applyNumberFormat="1" applyFont="1" applyFill="1" applyBorder="1" applyAlignment="1">
      <alignment horizontal="center" vertical="top"/>
    </xf>
    <xf numFmtId="169" fontId="0" fillId="8" borderId="2" xfId="0" applyNumberFormat="1" applyFont="1" applyFill="1" applyBorder="1" applyAlignment="1">
      <alignment horizontal="center" vertical="top"/>
    </xf>
    <xf numFmtId="169" fontId="0" fillId="8" borderId="29" xfId="0" applyNumberFormat="1" applyFont="1" applyFill="1" applyBorder="1" applyAlignment="1" applyProtection="1">
      <alignment horizontal="center" vertical="top" shrinkToFit="1"/>
    </xf>
    <xf numFmtId="169" fontId="0" fillId="0" borderId="29" xfId="0" applyNumberFormat="1" applyFill="1" applyBorder="1" applyAlignment="1">
      <alignment horizontal="center" vertical="top"/>
    </xf>
    <xf numFmtId="169" fontId="0" fillId="0" borderId="1" xfId="0" applyNumberFormat="1" applyFill="1" applyBorder="1" applyAlignment="1">
      <alignment horizontal="center" vertical="top"/>
    </xf>
    <xf numFmtId="169" fontId="11" fillId="8" borderId="1" xfId="0" applyNumberFormat="1" applyFont="1" applyFill="1" applyBorder="1" applyAlignment="1" applyProtection="1">
      <alignment horizontal="center" vertical="top"/>
    </xf>
    <xf numFmtId="169" fontId="16" fillId="0" borderId="2" xfId="0" applyNumberFormat="1" applyFont="1" applyBorder="1" applyAlignment="1">
      <alignment horizontal="center" vertical="top"/>
    </xf>
    <xf numFmtId="169" fontId="16" fillId="0" borderId="29" xfId="0" applyNumberFormat="1" applyFont="1" applyBorder="1" applyAlignment="1">
      <alignment horizontal="center" vertical="top"/>
    </xf>
    <xf numFmtId="169" fontId="16" fillId="0" borderId="1" xfId="0" applyNumberFormat="1" applyFont="1" applyFill="1" applyBorder="1" applyAlignment="1">
      <alignment horizontal="center" vertical="top"/>
    </xf>
    <xf numFmtId="169" fontId="16" fillId="0" borderId="1" xfId="0" applyNumberFormat="1" applyFont="1" applyBorder="1" applyAlignment="1">
      <alignment horizontal="center" vertical="top"/>
    </xf>
    <xf numFmtId="169" fontId="26" fillId="0" borderId="2" xfId="0" applyNumberFormat="1" applyFont="1" applyFill="1" applyBorder="1" applyAlignment="1" applyProtection="1">
      <alignment horizontal="center" vertical="top"/>
    </xf>
    <xf numFmtId="169" fontId="8" fillId="8" borderId="82" xfId="0" applyNumberFormat="1" applyFont="1" applyFill="1" applyBorder="1" applyAlignment="1" applyProtection="1">
      <alignment horizontal="center" vertical="top"/>
    </xf>
    <xf numFmtId="0" fontId="0" fillId="2" borderId="1" xfId="0" applyFont="1" applyFill="1" applyBorder="1" applyAlignment="1" applyProtection="1">
      <alignment horizontal="left" vertical="top"/>
      <protection locked="0"/>
    </xf>
    <xf numFmtId="0" fontId="8" fillId="0" borderId="0" xfId="0" applyFont="1" applyBorder="1" applyAlignment="1">
      <alignment horizontal="left" vertical="top"/>
    </xf>
    <xf numFmtId="0" fontId="0" fillId="0" borderId="0" xfId="0" applyAlignment="1">
      <alignment horizontal="left" vertical="top"/>
    </xf>
    <xf numFmtId="0" fontId="20" fillId="0" borderId="0" xfId="0" applyFont="1" applyAlignment="1">
      <alignment horizontal="left" vertical="top"/>
    </xf>
    <xf numFmtId="0" fontId="0" fillId="0" borderId="19" xfId="0" quotePrefix="1" applyFont="1" applyFill="1" applyBorder="1" applyAlignment="1" applyProtection="1">
      <alignment horizontal="left" vertical="top"/>
      <protection locked="0"/>
    </xf>
    <xf numFmtId="0" fontId="4" fillId="16" borderId="19" xfId="0" applyFont="1" applyFill="1" applyBorder="1" applyAlignment="1" applyProtection="1">
      <alignment horizontal="left" vertical="top"/>
    </xf>
    <xf numFmtId="0" fontId="0" fillId="0" borderId="18" xfId="0" applyFont="1" applyBorder="1" applyAlignment="1">
      <alignment horizontal="left" vertical="top"/>
    </xf>
    <xf numFmtId="0" fontId="8" fillId="0" borderId="18" xfId="0" applyFont="1" applyBorder="1" applyAlignment="1">
      <alignment horizontal="left" vertical="top"/>
    </xf>
    <xf numFmtId="169" fontId="4" fillId="8" borderId="0" xfId="0" applyNumberFormat="1" applyFont="1" applyFill="1" applyBorder="1" applyAlignment="1" applyProtection="1">
      <alignment horizontal="center" vertical="top"/>
    </xf>
    <xf numFmtId="169" fontId="4" fillId="0" borderId="1" xfId="0" applyNumberFormat="1" applyFont="1" applyFill="1" applyBorder="1" applyAlignment="1">
      <alignment horizontal="center" vertical="top"/>
    </xf>
    <xf numFmtId="0" fontId="18" fillId="0" borderId="16" xfId="0" applyNumberFormat="1" applyFont="1" applyFill="1" applyBorder="1" applyAlignment="1" applyProtection="1">
      <alignment horizontal="left" vertical="top"/>
      <protection locked="0"/>
    </xf>
    <xf numFmtId="0" fontId="4" fillId="0" borderId="0" xfId="0" applyFont="1" applyFill="1" applyAlignment="1">
      <alignment vertical="top"/>
    </xf>
    <xf numFmtId="14" fontId="8" fillId="0" borderId="0" xfId="0" applyNumberFormat="1" applyFont="1" applyBorder="1" applyAlignment="1">
      <alignment horizontal="left" vertical="top"/>
    </xf>
    <xf numFmtId="0" fontId="6" fillId="0" borderId="28" xfId="0" applyFont="1" applyFill="1" applyBorder="1" applyAlignment="1" applyProtection="1">
      <alignment horizontal="left" vertical="top"/>
      <protection locked="0"/>
    </xf>
    <xf numFmtId="0" fontId="0" fillId="0" borderId="0" xfId="0" applyFont="1" applyBorder="1" applyAlignment="1">
      <alignment horizontal="left" vertical="top"/>
    </xf>
    <xf numFmtId="49" fontId="8" fillId="0" borderId="1" xfId="0" quotePrefix="1" applyNumberFormat="1" applyFont="1" applyFill="1" applyBorder="1" applyAlignment="1" applyProtection="1">
      <alignment horizontal="left" vertical="top"/>
      <protection locked="0"/>
    </xf>
    <xf numFmtId="0" fontId="4" fillId="10" borderId="1" xfId="0" applyFont="1" applyFill="1" applyBorder="1" applyAlignment="1" applyProtection="1">
      <alignment horizontal="left" vertical="top"/>
    </xf>
    <xf numFmtId="0" fontId="0" fillId="0" borderId="19" xfId="0" applyFont="1" applyFill="1" applyBorder="1" applyAlignment="1" applyProtection="1">
      <alignment horizontal="left" vertical="top" wrapText="1"/>
      <protection locked="0"/>
    </xf>
    <xf numFmtId="0" fontId="4" fillId="0" borderId="19" xfId="0" applyFont="1" applyFill="1" applyBorder="1" applyAlignment="1" applyProtection="1">
      <alignment horizontal="left" vertical="top" wrapText="1"/>
      <protection locked="0"/>
    </xf>
    <xf numFmtId="169" fontId="0" fillId="0" borderId="16" xfId="0" applyNumberFormat="1" applyFont="1" applyFill="1" applyBorder="1" applyAlignment="1" applyProtection="1">
      <alignment horizontal="center" vertical="top" shrinkToFit="1"/>
    </xf>
    <xf numFmtId="169" fontId="0" fillId="0" borderId="29" xfId="0" applyNumberFormat="1" applyFont="1" applyFill="1" applyBorder="1" applyAlignment="1">
      <alignment horizontal="center" vertical="top"/>
    </xf>
    <xf numFmtId="0" fontId="4" fillId="0" borderId="16" xfId="0" applyFont="1" applyFill="1" applyBorder="1" applyAlignment="1" applyProtection="1">
      <alignment horizontal="right" vertical="top"/>
      <protection locked="0"/>
    </xf>
    <xf numFmtId="169" fontId="16" fillId="0" borderId="17" xfId="0" applyNumberFormat="1" applyFont="1" applyFill="1" applyBorder="1" applyAlignment="1" applyProtection="1">
      <alignment horizontal="center" vertical="top"/>
    </xf>
    <xf numFmtId="169" fontId="16" fillId="0" borderId="16" xfId="0" applyNumberFormat="1" applyFont="1" applyFill="1" applyBorder="1" applyAlignment="1" applyProtection="1">
      <alignment horizontal="center" vertical="top"/>
    </xf>
    <xf numFmtId="0" fontId="4" fillId="17" borderId="30" xfId="0" applyFont="1" applyFill="1" applyBorder="1" applyAlignment="1" applyProtection="1">
      <alignment vertical="top"/>
      <protection locked="0"/>
    </xf>
    <xf numFmtId="0" fontId="29" fillId="8" borderId="19" xfId="0" applyFont="1" applyFill="1" applyBorder="1" applyAlignment="1" applyProtection="1">
      <alignment horizontal="left" vertical="top"/>
      <protection locked="0"/>
    </xf>
    <xf numFmtId="169" fontId="4" fillId="8" borderId="16" xfId="0" applyNumberFormat="1" applyFont="1" applyFill="1" applyBorder="1" applyAlignment="1" applyProtection="1">
      <alignment horizontal="center" vertical="top"/>
    </xf>
    <xf numFmtId="169" fontId="4" fillId="10" borderId="0" xfId="0" applyNumberFormat="1" applyFont="1" applyFill="1" applyBorder="1" applyAlignment="1" applyProtection="1">
      <alignment horizontal="center" vertical="top"/>
    </xf>
    <xf numFmtId="168" fontId="0" fillId="0" borderId="30" xfId="0" applyNumberFormat="1" applyFill="1" applyBorder="1"/>
    <xf numFmtId="168" fontId="4" fillId="18" borderId="37" xfId="0" applyNumberFormat="1" applyFont="1" applyFill="1" applyBorder="1" applyAlignment="1" applyProtection="1">
      <alignment horizontal="left"/>
      <protection locked="0"/>
    </xf>
    <xf numFmtId="0" fontId="22" fillId="8" borderId="47" xfId="0" applyFont="1" applyFill="1" applyBorder="1" applyAlignment="1" applyProtection="1">
      <alignment horizontal="left" vertical="top" wrapText="1"/>
      <protection locked="0"/>
    </xf>
    <xf numFmtId="0" fontId="0" fillId="0" borderId="19" xfId="0" applyFont="1" applyBorder="1" applyAlignment="1" applyProtection="1">
      <alignment horizontal="left" vertical="top" wrapText="1"/>
      <protection locked="0"/>
    </xf>
    <xf numFmtId="0" fontId="4" fillId="0" borderId="19" xfId="0" applyFont="1" applyBorder="1" applyAlignment="1" applyProtection="1">
      <alignment horizontal="left" vertical="top" wrapText="1"/>
      <protection locked="0"/>
    </xf>
    <xf numFmtId="168" fontId="14" fillId="2" borderId="27" xfId="0" applyNumberFormat="1" applyFont="1" applyFill="1" applyBorder="1" applyAlignment="1" applyProtection="1">
      <alignment horizontal="left" vertical="top" textRotation="90" wrapText="1"/>
    </xf>
    <xf numFmtId="169" fontId="0" fillId="0" borderId="2" xfId="0" applyNumberFormat="1" applyFont="1" applyFill="1" applyBorder="1" applyAlignment="1" applyProtection="1">
      <alignment horizontal="center" vertical="top" shrinkToFit="1"/>
    </xf>
    <xf numFmtId="169" fontId="16" fillId="0" borderId="2" xfId="0" applyNumberFormat="1" applyFont="1" applyFill="1" applyBorder="1" applyAlignment="1" applyProtection="1">
      <alignment horizontal="center" vertical="top" shrinkToFit="1"/>
    </xf>
    <xf numFmtId="169" fontId="0" fillId="0" borderId="29" xfId="0" applyNumberFormat="1" applyFont="1" applyFill="1" applyBorder="1" applyAlignment="1" applyProtection="1">
      <alignment horizontal="center" vertical="top"/>
    </xf>
    <xf numFmtId="0" fontId="0" fillId="8" borderId="19" xfId="0" applyFont="1" applyFill="1" applyBorder="1" applyAlignment="1" applyProtection="1">
      <alignment horizontal="left" vertical="top" wrapText="1"/>
      <protection locked="0"/>
    </xf>
    <xf numFmtId="169" fontId="4" fillId="8" borderId="19" xfId="0" applyNumberFormat="1" applyFont="1" applyFill="1" applyBorder="1" applyAlignment="1" applyProtection="1">
      <alignment horizontal="center" vertical="top"/>
    </xf>
    <xf numFmtId="169" fontId="0" fillId="8" borderId="2" xfId="0" applyNumberFormat="1" applyFont="1" applyFill="1" applyBorder="1" applyAlignment="1" applyProtection="1">
      <alignment horizontal="center" vertical="top"/>
    </xf>
    <xf numFmtId="169" fontId="0" fillId="7" borderId="1" xfId="0" applyNumberFormat="1" applyFill="1" applyBorder="1" applyAlignment="1" applyProtection="1">
      <alignment horizontal="center" vertical="top"/>
    </xf>
    <xf numFmtId="170" fontId="0" fillId="0" borderId="38" xfId="0" applyNumberFormat="1" applyBorder="1" applyAlignment="1" applyProtection="1">
      <alignment horizontal="center" vertical="top"/>
      <protection locked="0"/>
    </xf>
    <xf numFmtId="170" fontId="0" fillId="0" borderId="2" xfId="0" applyNumberFormat="1" applyFill="1" applyBorder="1" applyAlignment="1" applyProtection="1">
      <alignment horizontal="center" vertical="top"/>
      <protection locked="0"/>
    </xf>
    <xf numFmtId="170" fontId="0" fillId="0" borderId="2" xfId="0" applyNumberFormat="1" applyFill="1" applyBorder="1" applyAlignment="1" applyProtection="1">
      <alignment horizontal="center" vertical="top" wrapText="1"/>
      <protection locked="0"/>
    </xf>
    <xf numFmtId="170" fontId="0" fillId="0" borderId="2" xfId="0" applyNumberFormat="1" applyBorder="1" applyAlignment="1" applyProtection="1">
      <alignment horizontal="center" vertical="top"/>
      <protection locked="0"/>
    </xf>
    <xf numFmtId="170" fontId="0" fillId="0" borderId="38" xfId="0" applyNumberFormat="1" applyFill="1" applyBorder="1" applyAlignment="1" applyProtection="1">
      <alignment horizontal="center" vertical="top"/>
      <protection locked="0"/>
    </xf>
    <xf numFmtId="170" fontId="0" fillId="16" borderId="2" xfId="0" applyNumberFormat="1" applyFill="1" applyBorder="1" applyAlignment="1" applyProtection="1">
      <alignment horizontal="center" vertical="top"/>
      <protection locked="0"/>
    </xf>
    <xf numFmtId="170" fontId="0" fillId="7" borderId="38" xfId="0" applyNumberFormat="1" applyFill="1" applyBorder="1" applyAlignment="1" applyProtection="1">
      <alignment horizontal="center" vertical="top"/>
      <protection locked="0"/>
    </xf>
    <xf numFmtId="170" fontId="0" fillId="9" borderId="2" xfId="0" applyNumberFormat="1" applyFill="1" applyBorder="1" applyAlignment="1" applyProtection="1">
      <alignment horizontal="center" vertical="top"/>
      <protection locked="0"/>
    </xf>
    <xf numFmtId="170" fontId="0" fillId="7" borderId="2" xfId="0" applyNumberFormat="1" applyFill="1" applyBorder="1" applyAlignment="1" applyProtection="1">
      <alignment horizontal="center" vertical="top"/>
      <protection locked="0"/>
    </xf>
    <xf numFmtId="170" fontId="16" fillId="0" borderId="2" xfId="0" applyNumberFormat="1" applyFont="1" applyFill="1" applyBorder="1" applyAlignment="1" applyProtection="1">
      <alignment horizontal="center" vertical="top"/>
      <protection locked="0"/>
    </xf>
    <xf numFmtId="170" fontId="16" fillId="0" borderId="38" xfId="0" applyNumberFormat="1" applyFont="1" applyBorder="1" applyAlignment="1" applyProtection="1">
      <alignment horizontal="center" vertical="top"/>
      <protection locked="0"/>
    </xf>
    <xf numFmtId="170" fontId="0" fillId="0" borderId="17" xfId="0" applyNumberFormat="1" applyFill="1" applyBorder="1" applyAlignment="1" applyProtection="1">
      <alignment horizontal="center" vertical="top"/>
      <protection locked="0"/>
    </xf>
    <xf numFmtId="170" fontId="29" fillId="0" borderId="2" xfId="0" applyNumberFormat="1" applyFont="1" applyFill="1" applyBorder="1" applyAlignment="1" applyProtection="1">
      <alignment horizontal="center" vertical="top"/>
      <protection locked="0"/>
    </xf>
    <xf numFmtId="170" fontId="16" fillId="0" borderId="2" xfId="0" applyNumberFormat="1" applyFont="1" applyBorder="1" applyAlignment="1" applyProtection="1">
      <alignment horizontal="center" vertical="top"/>
      <protection locked="0"/>
    </xf>
    <xf numFmtId="170" fontId="0" fillId="0" borderId="2" xfId="0" applyNumberFormat="1" applyFill="1" applyBorder="1" applyAlignment="1">
      <alignment horizontal="center" vertical="top"/>
    </xf>
    <xf numFmtId="170" fontId="0" fillId="9" borderId="2" xfId="0" applyNumberFormat="1" applyFill="1" applyBorder="1" applyAlignment="1">
      <alignment horizontal="center" vertical="top"/>
    </xf>
    <xf numFmtId="169" fontId="4" fillId="8" borderId="2" xfId="0" applyNumberFormat="1" applyFont="1" applyFill="1" applyBorder="1" applyAlignment="1" applyProtection="1">
      <alignment horizontal="center" vertical="top"/>
    </xf>
    <xf numFmtId="170" fontId="0" fillId="0" borderId="2" xfId="0" applyNumberFormat="1" applyFont="1" applyFill="1" applyBorder="1" applyAlignment="1">
      <alignment horizontal="center" vertical="top"/>
    </xf>
    <xf numFmtId="170" fontId="8" fillId="0" borderId="2" xfId="0" applyNumberFormat="1" applyFont="1" applyFill="1" applyBorder="1" applyAlignment="1" applyProtection="1">
      <alignment horizontal="center" vertical="top"/>
      <protection locked="0"/>
    </xf>
    <xf numFmtId="169" fontId="0" fillId="8" borderId="38" xfId="0" applyNumberFormat="1" applyFont="1" applyFill="1" applyBorder="1" applyAlignment="1" applyProtection="1">
      <alignment horizontal="center" vertical="top"/>
    </xf>
    <xf numFmtId="169" fontId="0" fillId="8" borderId="17" xfId="0" applyNumberFormat="1" applyFont="1" applyFill="1" applyBorder="1" applyAlignment="1" applyProtection="1">
      <alignment horizontal="center" vertical="top"/>
    </xf>
    <xf numFmtId="169" fontId="4" fillId="8" borderId="17" xfId="0" quotePrefix="1" applyNumberFormat="1" applyFont="1" applyFill="1" applyBorder="1" applyAlignment="1" applyProtection="1">
      <alignment horizontal="center" vertical="top"/>
    </xf>
    <xf numFmtId="169" fontId="0" fillId="8" borderId="47" xfId="0" applyNumberFormat="1" applyFont="1" applyFill="1" applyBorder="1" applyAlignment="1" applyProtection="1">
      <alignment horizontal="center" vertical="top" shrinkToFit="1"/>
    </xf>
    <xf numFmtId="169" fontId="0" fillId="8" borderId="18" xfId="0" applyNumberFormat="1" applyFont="1" applyFill="1" applyBorder="1" applyAlignment="1" applyProtection="1">
      <alignment horizontal="center" vertical="top" shrinkToFit="1"/>
    </xf>
    <xf numFmtId="169" fontId="0" fillId="12" borderId="2" xfId="0" applyNumberFormat="1" applyFont="1" applyFill="1" applyBorder="1" applyAlignment="1" applyProtection="1">
      <alignment horizontal="center" vertical="top" shrinkToFit="1"/>
    </xf>
    <xf numFmtId="169" fontId="0" fillId="12" borderId="0" xfId="0" applyNumberFormat="1" applyFont="1" applyFill="1" applyBorder="1" applyAlignment="1" applyProtection="1">
      <alignment horizontal="center" vertical="top" shrinkToFit="1"/>
    </xf>
    <xf numFmtId="169" fontId="13" fillId="12" borderId="2" xfId="0" applyNumberFormat="1" applyFont="1" applyFill="1" applyBorder="1" applyAlignment="1" applyProtection="1">
      <alignment horizontal="center" vertical="top"/>
    </xf>
    <xf numFmtId="169" fontId="13" fillId="12" borderId="0" xfId="0" applyNumberFormat="1" applyFont="1" applyFill="1" applyBorder="1" applyAlignment="1" applyProtection="1">
      <alignment horizontal="center" vertical="top"/>
    </xf>
    <xf numFmtId="169" fontId="16" fillId="0" borderId="0" xfId="0" applyNumberFormat="1" applyFont="1" applyFill="1" applyBorder="1" applyAlignment="1" applyProtection="1">
      <alignment horizontal="center" vertical="top" shrinkToFit="1"/>
    </xf>
    <xf numFmtId="169" fontId="16" fillId="0" borderId="2" xfId="0" applyNumberFormat="1" applyFont="1" applyBorder="1" applyAlignment="1" applyProtection="1">
      <alignment horizontal="center" vertical="top" shrinkToFit="1"/>
    </xf>
    <xf numFmtId="169" fontId="16" fillId="0" borderId="0" xfId="0" applyNumberFormat="1" applyFont="1" applyBorder="1" applyAlignment="1" applyProtection="1">
      <alignment horizontal="center" vertical="top" shrinkToFit="1"/>
    </xf>
    <xf numFmtId="169" fontId="43" fillId="0" borderId="2" xfId="0" applyNumberFormat="1" applyFont="1" applyFill="1" applyBorder="1" applyAlignment="1" applyProtection="1">
      <alignment horizontal="center" vertical="top" shrinkToFit="1"/>
    </xf>
    <xf numFmtId="169" fontId="29" fillId="0" borderId="0" xfId="0" applyNumberFormat="1" applyFont="1" applyFill="1" applyBorder="1" applyAlignment="1" applyProtection="1">
      <alignment horizontal="center" vertical="top" shrinkToFit="1"/>
    </xf>
    <xf numFmtId="169" fontId="0" fillId="8" borderId="18" xfId="0" applyNumberFormat="1" applyFont="1" applyFill="1" applyBorder="1" applyAlignment="1" applyProtection="1">
      <alignment horizontal="center" vertical="top"/>
    </xf>
    <xf numFmtId="169" fontId="0" fillId="8" borderId="19" xfId="0" applyNumberFormat="1" applyFill="1" applyBorder="1" applyAlignment="1" applyProtection="1">
      <alignment horizontal="center" vertical="top"/>
    </xf>
    <xf numFmtId="169" fontId="22" fillId="0" borderId="29" xfId="0" applyNumberFormat="1" applyFont="1" applyFill="1" applyBorder="1" applyAlignment="1" applyProtection="1">
      <alignment horizontal="center" vertical="top" shrinkToFit="1"/>
    </xf>
    <xf numFmtId="169" fontId="4" fillId="0" borderId="29" xfId="0" applyNumberFormat="1" applyFont="1" applyFill="1" applyBorder="1" applyAlignment="1" applyProtection="1">
      <alignment horizontal="center" vertical="top" shrinkToFit="1"/>
    </xf>
    <xf numFmtId="0" fontId="0" fillId="0" borderId="0" xfId="0" applyFill="1" applyBorder="1" applyAlignment="1" applyProtection="1">
      <alignment vertical="top"/>
    </xf>
    <xf numFmtId="0" fontId="8" fillId="0" borderId="0" xfId="0" applyFont="1" applyBorder="1" applyAlignment="1" applyProtection="1">
      <alignment horizontal="center" vertical="top"/>
      <protection locked="0"/>
    </xf>
    <xf numFmtId="0" fontId="8" fillId="0" borderId="0" xfId="0" applyFont="1" applyBorder="1" applyAlignment="1" applyProtection="1">
      <alignment horizontal="left" vertical="top"/>
      <protection locked="0"/>
    </xf>
    <xf numFmtId="0" fontId="0" fillId="0" borderId="0" xfId="0" applyFont="1" applyBorder="1" applyAlignment="1" applyProtection="1">
      <alignment horizontal="center" vertical="top"/>
      <protection locked="0"/>
    </xf>
    <xf numFmtId="49" fontId="8" fillId="0" borderId="29" xfId="0" quotePrefix="1" applyNumberFormat="1" applyFont="1" applyFill="1" applyBorder="1" applyAlignment="1" applyProtection="1">
      <alignment vertical="top"/>
      <protection locked="0"/>
    </xf>
    <xf numFmtId="170" fontId="0" fillId="0" borderId="1" xfId="0" applyNumberFormat="1" applyFont="1" applyFill="1" applyBorder="1" applyAlignment="1" applyProtection="1">
      <alignment horizontal="center" vertical="top"/>
      <protection locked="0"/>
    </xf>
    <xf numFmtId="169" fontId="4" fillId="0" borderId="1" xfId="0" applyNumberFormat="1" applyFont="1" applyFill="1" applyBorder="1" applyAlignment="1" applyProtection="1">
      <alignment horizontal="center" vertical="top" shrinkToFit="1"/>
    </xf>
    <xf numFmtId="0" fontId="0" fillId="0" borderId="89" xfId="0" applyFont="1" applyFill="1" applyBorder="1" applyAlignment="1" applyProtection="1">
      <alignment horizontal="left" vertical="top" wrapText="1"/>
      <protection locked="0"/>
    </xf>
    <xf numFmtId="169" fontId="0" fillId="8" borderId="19" xfId="0" applyNumberFormat="1" applyFont="1" applyFill="1" applyBorder="1" applyAlignment="1" applyProtection="1">
      <alignment horizontal="center" vertical="top"/>
    </xf>
    <xf numFmtId="0" fontId="4" fillId="0" borderId="0" xfId="0" applyFont="1" applyFill="1" applyBorder="1" applyAlignment="1" applyProtection="1">
      <alignment horizontal="right" vertical="top"/>
      <protection locked="0"/>
    </xf>
    <xf numFmtId="0" fontId="46" fillId="0" borderId="0" xfId="0" applyNumberFormat="1" applyFont="1" applyFill="1" applyBorder="1" applyAlignment="1" applyProtection="1">
      <alignment horizontal="center" vertical="top"/>
      <protection locked="0"/>
    </xf>
    <xf numFmtId="0" fontId="46" fillId="0" borderId="18" xfId="0" applyNumberFormat="1" applyFont="1" applyBorder="1" applyAlignment="1" applyProtection="1">
      <alignment horizontal="center" vertical="top"/>
      <protection locked="0"/>
    </xf>
    <xf numFmtId="0" fontId="46" fillId="0" borderId="29" xfId="0" applyNumberFormat="1" applyFont="1" applyBorder="1" applyAlignment="1" applyProtection="1">
      <alignment horizontal="center" vertical="top"/>
      <protection locked="0"/>
    </xf>
    <xf numFmtId="0" fontId="46" fillId="0" borderId="1" xfId="0" applyNumberFormat="1" applyFont="1" applyBorder="1" applyAlignment="1" applyProtection="1">
      <alignment horizontal="center" vertical="top"/>
      <protection locked="0"/>
    </xf>
    <xf numFmtId="0" fontId="46" fillId="0" borderId="17" xfId="0" applyNumberFormat="1" applyFont="1" applyBorder="1" applyAlignment="1" applyProtection="1">
      <alignment horizontal="center" vertical="top"/>
      <protection locked="0"/>
    </xf>
    <xf numFmtId="0" fontId="46" fillId="0" borderId="19" xfId="0" applyNumberFormat="1" applyFont="1" applyBorder="1" applyAlignment="1" applyProtection="1">
      <alignment horizontal="center" vertical="top"/>
      <protection locked="0"/>
    </xf>
    <xf numFmtId="0" fontId="46" fillId="0" borderId="1" xfId="0" applyNumberFormat="1" applyFont="1" applyBorder="1" applyAlignment="1" applyProtection="1">
      <alignment horizontal="center" vertical="top"/>
    </xf>
    <xf numFmtId="0" fontId="47" fillId="0" borderId="1" xfId="0" applyNumberFormat="1" applyFont="1" applyBorder="1" applyAlignment="1" applyProtection="1">
      <alignment horizontal="center" vertical="top"/>
    </xf>
    <xf numFmtId="0" fontId="46" fillId="0" borderId="0" xfId="0" applyNumberFormat="1" applyFont="1" applyBorder="1" applyAlignment="1" applyProtection="1">
      <alignment horizontal="center" vertical="top"/>
      <protection locked="0"/>
    </xf>
    <xf numFmtId="0" fontId="4" fillId="0" borderId="0" xfId="0" applyFont="1" applyFill="1" applyBorder="1" applyAlignment="1">
      <alignment vertical="top"/>
    </xf>
    <xf numFmtId="168" fontId="0" fillId="8" borderId="59" xfId="0" applyNumberFormat="1" applyFont="1" applyFill="1" applyBorder="1" applyAlignment="1" applyProtection="1">
      <alignment vertical="center" shrinkToFit="1"/>
      <protection locked="0"/>
    </xf>
    <xf numFmtId="168" fontId="15" fillId="8" borderId="71" xfId="0" applyNumberFormat="1" applyFont="1" applyFill="1" applyBorder="1" applyAlignment="1" applyProtection="1">
      <alignment vertical="center" shrinkToFit="1"/>
      <protection locked="0"/>
    </xf>
    <xf numFmtId="168" fontId="0" fillId="8" borderId="30" xfId="0" applyNumberFormat="1" applyFont="1" applyFill="1" applyBorder="1" applyAlignment="1" applyProtection="1">
      <alignment horizontal="left" vertical="top" shrinkToFit="1"/>
    </xf>
    <xf numFmtId="168" fontId="4" fillId="8" borderId="40" xfId="0" applyNumberFormat="1" applyFont="1" applyFill="1" applyBorder="1" applyAlignment="1" applyProtection="1">
      <alignment vertical="top" shrinkToFit="1"/>
    </xf>
    <xf numFmtId="168" fontId="0" fillId="8" borderId="19" xfId="0" applyNumberFormat="1" applyFont="1" applyFill="1" applyBorder="1" applyAlignment="1" applyProtection="1">
      <alignment vertical="top" shrinkToFit="1"/>
    </xf>
    <xf numFmtId="168" fontId="4" fillId="8" borderId="19" xfId="0" applyNumberFormat="1" applyFont="1" applyFill="1" applyBorder="1" applyAlignment="1" applyProtection="1">
      <alignment vertical="top" shrinkToFit="1"/>
    </xf>
    <xf numFmtId="168" fontId="0" fillId="8" borderId="18" xfId="0" applyNumberFormat="1" applyFont="1" applyFill="1" applyBorder="1" applyAlignment="1" applyProtection="1">
      <alignment vertical="center" shrinkToFit="1"/>
      <protection locked="0"/>
    </xf>
    <xf numFmtId="168" fontId="0" fillId="8" borderId="30" xfId="0" applyNumberFormat="1" applyFont="1" applyFill="1" applyBorder="1" applyAlignment="1" applyProtection="1">
      <alignment vertical="top" shrinkToFit="1"/>
      <protection locked="0"/>
    </xf>
    <xf numFmtId="168" fontId="0" fillId="8" borderId="30" xfId="0" applyNumberFormat="1" applyFont="1" applyFill="1" applyBorder="1" applyAlignment="1" applyProtection="1">
      <alignment horizontal="center" vertical="top" shrinkToFit="1"/>
    </xf>
    <xf numFmtId="168" fontId="0" fillId="8" borderId="73" xfId="0" applyNumberFormat="1" applyFont="1" applyFill="1" applyBorder="1" applyAlignment="1" applyProtection="1">
      <alignment vertical="center" shrinkToFit="1"/>
      <protection locked="0"/>
    </xf>
    <xf numFmtId="168" fontId="4" fillId="8" borderId="59" xfId="0" applyNumberFormat="1" applyFont="1" applyFill="1" applyBorder="1" applyAlignment="1" applyProtection="1">
      <alignment vertical="center" shrinkToFit="1"/>
      <protection locked="0"/>
    </xf>
    <xf numFmtId="168" fontId="4" fillId="8" borderId="72" xfId="0" applyNumberFormat="1" applyFont="1" applyFill="1" applyBorder="1" applyAlignment="1" applyProtection="1">
      <alignment vertical="top" shrinkToFit="1"/>
    </xf>
    <xf numFmtId="168" fontId="15" fillId="8" borderId="59" xfId="0" applyNumberFormat="1" applyFont="1" applyFill="1" applyBorder="1" applyAlignment="1" applyProtection="1">
      <alignment vertical="center"/>
      <protection locked="0"/>
    </xf>
    <xf numFmtId="168" fontId="0" fillId="8" borderId="30" xfId="0" applyNumberFormat="1" applyFont="1" applyFill="1" applyBorder="1"/>
    <xf numFmtId="168" fontId="4" fillId="8" borderId="30" xfId="0" applyNumberFormat="1" applyFont="1" applyFill="1" applyBorder="1" applyAlignment="1">
      <alignment vertical="top"/>
    </xf>
    <xf numFmtId="168" fontId="4" fillId="8" borderId="30" xfId="0" applyNumberFormat="1" applyFont="1" applyFill="1" applyBorder="1"/>
    <xf numFmtId="168" fontId="15" fillId="8" borderId="59" xfId="0" applyNumberFormat="1" applyFont="1" applyFill="1" applyBorder="1" applyAlignment="1" applyProtection="1">
      <alignment vertical="center" shrinkToFit="1"/>
      <protection locked="0"/>
    </xf>
    <xf numFmtId="168" fontId="42" fillId="8" borderId="59" xfId="0" applyNumberFormat="1" applyFont="1" applyFill="1" applyBorder="1" applyAlignment="1" applyProtection="1">
      <alignment vertical="center" shrinkToFit="1"/>
      <protection locked="0"/>
    </xf>
    <xf numFmtId="168" fontId="4" fillId="8" borderId="30" xfId="0" applyNumberFormat="1" applyFont="1" applyFill="1" applyBorder="1" applyAlignment="1" applyProtection="1">
      <alignment vertical="top"/>
    </xf>
    <xf numFmtId="168" fontId="42" fillId="8" borderId="73" xfId="0" applyNumberFormat="1" applyFont="1" applyFill="1" applyBorder="1" applyAlignment="1" applyProtection="1">
      <alignment vertical="center" shrinkToFit="1"/>
      <protection locked="0"/>
    </xf>
    <xf numFmtId="168" fontId="4" fillId="8" borderId="72" xfId="0" applyNumberFormat="1" applyFont="1" applyFill="1" applyBorder="1" applyAlignment="1" applyProtection="1">
      <alignment horizontal="center" vertical="top"/>
    </xf>
    <xf numFmtId="168" fontId="15" fillId="8" borderId="73" xfId="0" applyNumberFormat="1" applyFont="1" applyFill="1" applyBorder="1" applyAlignment="1" applyProtection="1">
      <alignment vertical="center" shrinkToFit="1"/>
      <protection locked="0"/>
    </xf>
    <xf numFmtId="168" fontId="15" fillId="8" borderId="18" xfId="0" applyNumberFormat="1" applyFont="1" applyFill="1" applyBorder="1" applyAlignment="1" applyProtection="1">
      <alignment vertical="center" shrinkToFit="1"/>
      <protection locked="0"/>
    </xf>
    <xf numFmtId="168" fontId="4" fillId="8" borderId="19" xfId="0" applyNumberFormat="1" applyFont="1" applyFill="1" applyBorder="1" applyAlignment="1" applyProtection="1">
      <alignment horizontal="center" vertical="top"/>
    </xf>
    <xf numFmtId="168" fontId="4" fillId="8" borderId="19" xfId="0" applyNumberFormat="1" applyFont="1" applyFill="1" applyBorder="1" applyAlignment="1" applyProtection="1">
      <alignment vertical="top"/>
    </xf>
    <xf numFmtId="168" fontId="4" fillId="8" borderId="40" xfId="0" applyNumberFormat="1" applyFont="1" applyFill="1" applyBorder="1" applyAlignment="1" applyProtection="1">
      <alignment horizontal="center" vertical="top"/>
    </xf>
    <xf numFmtId="168" fontId="4" fillId="8" borderId="40" xfId="0" applyNumberFormat="1" applyFont="1" applyFill="1" applyBorder="1" applyAlignment="1" applyProtection="1">
      <alignment vertical="top"/>
    </xf>
    <xf numFmtId="168" fontId="42" fillId="8" borderId="71" xfId="0" applyNumberFormat="1" applyFont="1" applyFill="1" applyBorder="1" applyAlignment="1" applyProtection="1">
      <alignment vertical="center" shrinkToFit="1"/>
      <protection locked="0"/>
    </xf>
    <xf numFmtId="168" fontId="0" fillId="8" borderId="40" xfId="0" applyNumberFormat="1" applyFill="1" applyBorder="1" applyAlignment="1" applyProtection="1">
      <alignment horizontal="center" vertical="top"/>
    </xf>
    <xf numFmtId="168" fontId="0" fillId="8" borderId="30" xfId="0" applyNumberFormat="1" applyFill="1" applyBorder="1" applyAlignment="1" applyProtection="1">
      <alignment horizontal="center" vertical="top" shrinkToFit="1"/>
    </xf>
    <xf numFmtId="168" fontId="8" fillId="8" borderId="30" xfId="0" applyNumberFormat="1" applyFont="1" applyFill="1" applyBorder="1" applyAlignment="1" applyProtection="1">
      <alignment vertical="top" shrinkToFit="1"/>
    </xf>
    <xf numFmtId="168" fontId="15" fillId="10" borderId="35" xfId="0" applyNumberFormat="1" applyFont="1" applyFill="1" applyBorder="1" applyAlignment="1" applyProtection="1">
      <alignment vertical="center" shrinkToFit="1"/>
      <protection locked="0"/>
    </xf>
    <xf numFmtId="169" fontId="4" fillId="8" borderId="29" xfId="0" applyNumberFormat="1" applyFont="1" applyFill="1" applyBorder="1" applyAlignment="1" applyProtection="1">
      <alignment horizontal="center" vertical="top" shrinkToFit="1"/>
    </xf>
    <xf numFmtId="0" fontId="4" fillId="17" borderId="71" xfId="0" applyFont="1" applyFill="1" applyBorder="1" applyAlignment="1" applyProtection="1">
      <alignment vertical="top"/>
      <protection locked="0"/>
    </xf>
    <xf numFmtId="0" fontId="3" fillId="2" borderId="26" xfId="0" applyFont="1" applyFill="1" applyBorder="1" applyAlignment="1" applyProtection="1">
      <alignment horizontal="center" vertical="top" wrapText="1"/>
      <protection locked="0"/>
    </xf>
    <xf numFmtId="168" fontId="42" fillId="19" borderId="73" xfId="0" applyNumberFormat="1" applyFont="1" applyFill="1" applyBorder="1" applyAlignment="1" applyProtection="1">
      <alignment vertical="center" shrinkToFit="1"/>
      <protection locked="0"/>
    </xf>
    <xf numFmtId="168" fontId="0" fillId="19" borderId="30" xfId="0" applyNumberFormat="1" applyFont="1" applyFill="1" applyBorder="1" applyAlignment="1" applyProtection="1">
      <alignment vertical="top" shrinkToFit="1"/>
    </xf>
    <xf numFmtId="168" fontId="0" fillId="19" borderId="30" xfId="0" applyNumberFormat="1" applyFill="1" applyBorder="1" applyAlignment="1" applyProtection="1">
      <alignment horizontal="center" vertical="top"/>
    </xf>
    <xf numFmtId="168" fontId="4" fillId="19" borderId="19" xfId="0" applyNumberFormat="1" applyFont="1" applyFill="1" applyBorder="1" applyAlignment="1" applyProtection="1">
      <alignment vertical="top"/>
    </xf>
    <xf numFmtId="168" fontId="4" fillId="19" borderId="40" xfId="0" applyNumberFormat="1" applyFont="1" applyFill="1" applyBorder="1" applyAlignment="1" applyProtection="1">
      <alignment vertical="top"/>
    </xf>
    <xf numFmtId="168" fontId="4" fillId="19" borderId="30" xfId="0" applyNumberFormat="1" applyFont="1" applyFill="1" applyBorder="1" applyAlignment="1" applyProtection="1">
      <alignment vertical="top"/>
    </xf>
    <xf numFmtId="169" fontId="0" fillId="8" borderId="29" xfId="0" applyNumberFormat="1" applyFont="1" applyFill="1" applyBorder="1" applyAlignment="1" applyProtection="1">
      <alignment horizontal="center" vertical="top"/>
    </xf>
    <xf numFmtId="169" fontId="4" fillId="8" borderId="1" xfId="0" applyNumberFormat="1" applyFont="1" applyFill="1" applyBorder="1" applyAlignment="1" applyProtection="1">
      <alignment horizontal="center" vertical="top" shrinkToFit="1"/>
    </xf>
    <xf numFmtId="168" fontId="15" fillId="17" borderId="59" xfId="0" applyNumberFormat="1" applyFont="1" applyFill="1" applyBorder="1" applyAlignment="1" applyProtection="1">
      <alignment vertical="center" shrinkToFit="1"/>
      <protection locked="0"/>
    </xf>
    <xf numFmtId="168" fontId="0" fillId="8" borderId="30" xfId="0" applyNumberFormat="1" applyFill="1" applyBorder="1" applyAlignment="1">
      <alignment vertical="top"/>
    </xf>
    <xf numFmtId="168" fontId="8" fillId="8" borderId="30" xfId="0" applyNumberFormat="1" applyFont="1" applyFill="1" applyBorder="1" applyAlignment="1" applyProtection="1">
      <alignment horizontal="center" vertical="top"/>
    </xf>
    <xf numFmtId="168" fontId="0" fillId="8" borderId="40" xfId="0" applyNumberFormat="1" applyFill="1" applyBorder="1" applyAlignment="1" applyProtection="1">
      <alignment vertical="top"/>
    </xf>
    <xf numFmtId="169" fontId="4" fillId="8" borderId="18" xfId="0" applyNumberFormat="1" applyFont="1" applyFill="1" applyBorder="1" applyAlignment="1" applyProtection="1">
      <alignment horizontal="center" vertical="top"/>
    </xf>
    <xf numFmtId="170" fontId="0" fillId="0" borderId="47" xfId="0" applyNumberFormat="1" applyFill="1" applyBorder="1" applyAlignment="1" applyProtection="1">
      <alignment horizontal="center" vertical="top"/>
      <protection locked="0"/>
    </xf>
    <xf numFmtId="0" fontId="4" fillId="8" borderId="19" xfId="0" applyFont="1" applyFill="1" applyBorder="1" applyAlignment="1" applyProtection="1">
      <alignment horizontal="left" vertical="top" wrapText="1"/>
      <protection locked="0"/>
    </xf>
    <xf numFmtId="169" fontId="0" fillId="7" borderId="1" xfId="0" applyNumberFormat="1" applyFont="1" applyFill="1" applyBorder="1" applyAlignment="1" applyProtection="1">
      <alignment horizontal="center" vertical="top"/>
    </xf>
    <xf numFmtId="168" fontId="42" fillId="0" borderId="73" xfId="0" applyNumberFormat="1" applyFont="1" applyFill="1" applyBorder="1" applyAlignment="1" applyProtection="1">
      <alignment vertical="center" shrinkToFit="1"/>
      <protection locked="0"/>
    </xf>
    <xf numFmtId="0" fontId="0" fillId="0" borderId="0" xfId="0" applyNumberFormat="1"/>
    <xf numFmtId="0" fontId="0" fillId="0" borderId="0" xfId="0" pivotButton="1"/>
    <xf numFmtId="0" fontId="0" fillId="0" borderId="0" xfId="0" applyAlignment="1">
      <alignment horizontal="left"/>
    </xf>
    <xf numFmtId="0" fontId="4" fillId="0" borderId="18" xfId="0" applyFont="1" applyFill="1" applyBorder="1" applyAlignment="1" applyProtection="1">
      <alignment horizontal="right" vertical="top"/>
      <protection locked="0"/>
    </xf>
    <xf numFmtId="0" fontId="0" fillId="4" borderId="19" xfId="0" applyFont="1" applyFill="1" applyBorder="1" applyAlignment="1" applyProtection="1">
      <alignment horizontal="left" vertical="top" wrapText="1"/>
      <protection locked="0"/>
    </xf>
    <xf numFmtId="0" fontId="0" fillId="8" borderId="89" xfId="0" applyFont="1" applyFill="1" applyBorder="1" applyAlignment="1" applyProtection="1">
      <alignment horizontal="left" vertical="top" wrapText="1"/>
      <protection locked="0"/>
    </xf>
    <xf numFmtId="0" fontId="0" fillId="4" borderId="89" xfId="0" applyFont="1" applyFill="1" applyBorder="1" applyAlignment="1" applyProtection="1">
      <alignment horizontal="left" vertical="top" wrapText="1"/>
      <protection locked="0"/>
    </xf>
    <xf numFmtId="0" fontId="0" fillId="9" borderId="1" xfId="0" applyFill="1" applyBorder="1" applyAlignment="1" applyProtection="1">
      <alignment vertical="top"/>
    </xf>
    <xf numFmtId="0" fontId="0" fillId="9" borderId="19" xfId="0" applyFill="1" applyBorder="1" applyAlignment="1" applyProtection="1">
      <alignment vertical="top"/>
    </xf>
    <xf numFmtId="0" fontId="0" fillId="9" borderId="17" xfId="0" applyFill="1" applyBorder="1" applyAlignment="1" applyProtection="1">
      <alignment vertical="top"/>
    </xf>
    <xf numFmtId="0" fontId="0" fillId="9" borderId="66" xfId="0" applyFill="1" applyBorder="1" applyAlignment="1" applyProtection="1">
      <alignment vertical="top"/>
    </xf>
    <xf numFmtId="0" fontId="4" fillId="9" borderId="1" xfId="0" applyFont="1" applyFill="1" applyBorder="1" applyAlignment="1" applyProtection="1">
      <alignment vertical="top"/>
    </xf>
    <xf numFmtId="0" fontId="0" fillId="9" borderId="0" xfId="0" applyFill="1" applyBorder="1" applyAlignment="1" applyProtection="1">
      <alignment vertical="top"/>
    </xf>
    <xf numFmtId="0" fontId="16" fillId="9" borderId="1" xfId="0" applyFont="1" applyFill="1" applyBorder="1" applyAlignment="1" applyProtection="1">
      <alignment vertical="top"/>
    </xf>
    <xf numFmtId="0" fontId="16" fillId="9" borderId="17" xfId="0" applyFont="1" applyFill="1" applyBorder="1" applyAlignment="1" applyProtection="1">
      <alignment vertical="top"/>
    </xf>
    <xf numFmtId="0" fontId="4" fillId="9" borderId="17" xfId="0" applyFont="1" applyFill="1" applyBorder="1" applyAlignment="1" applyProtection="1">
      <alignment vertical="top"/>
    </xf>
    <xf numFmtId="0" fontId="29" fillId="9" borderId="1" xfId="0" applyFont="1" applyFill="1" applyBorder="1" applyAlignment="1" applyProtection="1">
      <alignment vertical="top"/>
    </xf>
    <xf numFmtId="0" fontId="0" fillId="0" borderId="30" xfId="0" applyFill="1" applyBorder="1" applyAlignment="1" applyProtection="1">
      <alignment vertical="top"/>
      <protection locked="0"/>
    </xf>
    <xf numFmtId="168" fontId="0" fillId="10" borderId="30" xfId="0" applyNumberFormat="1" applyFont="1" applyFill="1" applyBorder="1" applyAlignment="1" applyProtection="1">
      <alignment horizontal="center" vertical="top"/>
    </xf>
    <xf numFmtId="168" fontId="0" fillId="10" borderId="30" xfId="0" applyNumberFormat="1" applyFont="1" applyFill="1" applyBorder="1" applyAlignment="1" applyProtection="1">
      <alignment vertical="top"/>
    </xf>
    <xf numFmtId="168" fontId="0" fillId="12" borderId="30" xfId="0" applyNumberFormat="1" applyFont="1" applyFill="1" applyBorder="1" applyAlignment="1" applyProtection="1">
      <alignment vertical="top"/>
    </xf>
    <xf numFmtId="170" fontId="0" fillId="0" borderId="2" xfId="0" applyNumberFormat="1" applyFont="1" applyFill="1" applyBorder="1" applyAlignment="1" applyProtection="1">
      <alignment horizontal="center" vertical="top"/>
      <protection locked="0"/>
    </xf>
    <xf numFmtId="168" fontId="15" fillId="0" borderId="18" xfId="0" applyNumberFormat="1" applyFont="1" applyFill="1" applyBorder="1" applyAlignment="1" applyProtection="1">
      <alignment vertical="center" shrinkToFit="1"/>
      <protection locked="0"/>
    </xf>
    <xf numFmtId="168" fontId="0" fillId="8" borderId="40" xfId="0" applyNumberFormat="1" applyFont="1" applyFill="1" applyBorder="1" applyAlignment="1" applyProtection="1">
      <alignment horizontal="center" vertical="top" shrinkToFit="1"/>
    </xf>
    <xf numFmtId="168" fontId="15" fillId="0" borderId="71" xfId="0" applyNumberFormat="1" applyFont="1" applyFill="1" applyBorder="1" applyAlignment="1" applyProtection="1">
      <alignment vertical="center" shrinkToFit="1"/>
      <protection locked="0"/>
    </xf>
    <xf numFmtId="0" fontId="4" fillId="0" borderId="89" xfId="0" applyFont="1" applyFill="1" applyBorder="1" applyAlignment="1" applyProtection="1">
      <alignment horizontal="left" vertical="top" wrapText="1"/>
      <protection locked="0"/>
    </xf>
    <xf numFmtId="0" fontId="4" fillId="4" borderId="19" xfId="3" applyFont="1" applyFill="1" applyBorder="1" applyAlignment="1" applyProtection="1">
      <alignment horizontal="left" vertical="top"/>
      <protection locked="0"/>
    </xf>
    <xf numFmtId="0" fontId="8" fillId="4" borderId="19" xfId="0" applyFont="1" applyFill="1" applyBorder="1" applyAlignment="1" applyProtection="1">
      <alignment horizontal="left" vertical="top"/>
      <protection locked="0"/>
    </xf>
    <xf numFmtId="0" fontId="0" fillId="0" borderId="1" xfId="0" applyBorder="1"/>
    <xf numFmtId="168" fontId="15" fillId="19" borderId="59" xfId="0" applyNumberFormat="1" applyFont="1" applyFill="1" applyBorder="1" applyAlignment="1" applyProtection="1">
      <alignment vertical="center" shrinkToFit="1"/>
      <protection locked="0"/>
    </xf>
    <xf numFmtId="0" fontId="4" fillId="8" borderId="89" xfId="0" applyFont="1" applyFill="1" applyBorder="1" applyAlignment="1" applyProtection="1">
      <alignment horizontal="left" vertical="top" wrapText="1"/>
      <protection locked="0"/>
    </xf>
    <xf numFmtId="169" fontId="8" fillId="7" borderId="1" xfId="0" applyNumberFormat="1" applyFont="1" applyFill="1" applyBorder="1" applyAlignment="1" applyProtection="1">
      <alignment horizontal="center" vertical="top"/>
    </xf>
    <xf numFmtId="49" fontId="0" fillId="0" borderId="0" xfId="0" quotePrefix="1" applyNumberFormat="1" applyFont="1" applyFill="1" applyBorder="1" applyAlignment="1" applyProtection="1">
      <alignment vertical="top"/>
      <protection locked="0"/>
    </xf>
    <xf numFmtId="0" fontId="0" fillId="0" borderId="0" xfId="0" applyFont="1" applyBorder="1" applyAlignment="1" applyProtection="1">
      <alignment vertical="top"/>
      <protection locked="0"/>
    </xf>
    <xf numFmtId="0" fontId="4" fillId="9" borderId="0" xfId="0" applyFont="1" applyFill="1" applyBorder="1" applyAlignment="1" applyProtection="1">
      <alignment vertical="top"/>
    </xf>
    <xf numFmtId="0" fontId="0" fillId="0" borderId="1" xfId="0" applyFill="1" applyBorder="1"/>
    <xf numFmtId="168" fontId="48" fillId="0" borderId="30" xfId="0" applyNumberFormat="1" applyFont="1" applyFill="1" applyBorder="1" applyAlignment="1" applyProtection="1">
      <alignment vertical="top" shrinkToFit="1"/>
    </xf>
    <xf numFmtId="168" fontId="49" fillId="0" borderId="30" xfId="0" applyNumberFormat="1" applyFont="1" applyBorder="1" applyAlignment="1" applyProtection="1">
      <alignment vertical="top" shrinkToFit="1"/>
    </xf>
    <xf numFmtId="168" fontId="48" fillId="0" borderId="30" xfId="0" applyNumberFormat="1" applyFont="1" applyFill="1" applyBorder="1"/>
    <xf numFmtId="168" fontId="48" fillId="0" borderId="40" xfId="0" applyNumberFormat="1" applyFont="1" applyFill="1" applyBorder="1" applyAlignment="1" applyProtection="1">
      <alignment vertical="top" shrinkToFit="1"/>
    </xf>
    <xf numFmtId="168" fontId="48" fillId="0" borderId="59" xfId="0" applyNumberFormat="1" applyFont="1" applyFill="1" applyBorder="1" applyAlignment="1" applyProtection="1">
      <alignment vertical="center" shrinkToFit="1"/>
      <protection locked="0"/>
    </xf>
    <xf numFmtId="168" fontId="50" fillId="0" borderId="73" xfId="0" applyNumberFormat="1" applyFont="1" applyFill="1" applyBorder="1" applyAlignment="1" applyProtection="1">
      <alignment vertical="center" shrinkToFit="1"/>
      <protection locked="0"/>
    </xf>
    <xf numFmtId="168" fontId="48" fillId="0" borderId="30" xfId="0" applyNumberFormat="1" applyFont="1" applyFill="1" applyBorder="1" applyAlignment="1" applyProtection="1">
      <alignment horizontal="center" vertical="top"/>
    </xf>
    <xf numFmtId="168" fontId="48" fillId="0" borderId="40" xfId="0" applyNumberFormat="1" applyFont="1" applyFill="1" applyBorder="1" applyAlignment="1" applyProtection="1">
      <alignment horizontal="center" vertical="top"/>
    </xf>
    <xf numFmtId="168" fontId="48" fillId="0" borderId="72" xfId="0" applyNumberFormat="1" applyFont="1" applyFill="1" applyBorder="1" applyAlignment="1" applyProtection="1">
      <alignment horizontal="center" vertical="top"/>
    </xf>
    <xf numFmtId="168" fontId="48" fillId="0" borderId="72" xfId="0" applyNumberFormat="1" applyFont="1" applyBorder="1" applyAlignment="1" applyProtection="1">
      <alignment horizontal="center" vertical="top"/>
    </xf>
    <xf numFmtId="168" fontId="48" fillId="0" borderId="30" xfId="0" applyNumberFormat="1" applyFont="1" applyBorder="1" applyAlignment="1" applyProtection="1">
      <alignment horizontal="center" vertical="top"/>
    </xf>
    <xf numFmtId="168" fontId="48" fillId="0" borderId="40" xfId="0" applyNumberFormat="1" applyFont="1" applyBorder="1" applyAlignment="1" applyProtection="1">
      <alignment horizontal="center" vertical="top"/>
    </xf>
    <xf numFmtId="168" fontId="48" fillId="0" borderId="30" xfId="0" applyNumberFormat="1" applyFont="1" applyBorder="1" applyAlignment="1" applyProtection="1">
      <alignment vertical="top"/>
    </xf>
    <xf numFmtId="168" fontId="48" fillId="0" borderId="30" xfId="0" applyNumberFormat="1" applyFont="1" applyFill="1" applyBorder="1" applyAlignment="1" applyProtection="1">
      <alignment vertical="top"/>
    </xf>
    <xf numFmtId="168" fontId="0" fillId="8" borderId="30" xfId="0" applyNumberFormat="1" applyFont="1" applyFill="1" applyBorder="1" applyAlignment="1" applyProtection="1">
      <alignment vertical="top"/>
    </xf>
    <xf numFmtId="0" fontId="4" fillId="10" borderId="1" xfId="0" applyFont="1" applyFill="1" applyBorder="1" applyAlignment="1" applyProtection="1">
      <alignment vertical="top"/>
    </xf>
    <xf numFmtId="0" fontId="4" fillId="10" borderId="19" xfId="0" applyFont="1" applyFill="1" applyBorder="1" applyAlignment="1" applyProtection="1">
      <alignment vertical="top"/>
    </xf>
    <xf numFmtId="168" fontId="0" fillId="0" borderId="30" xfId="0" applyNumberFormat="1" applyFont="1" applyBorder="1" applyAlignment="1" applyProtection="1">
      <alignment vertical="top"/>
    </xf>
    <xf numFmtId="168" fontId="0" fillId="8" borderId="72" xfId="0" applyNumberFormat="1" applyFont="1" applyFill="1" applyBorder="1" applyAlignment="1" applyProtection="1">
      <alignment vertical="top"/>
    </xf>
    <xf numFmtId="170" fontId="0" fillId="0" borderId="0" xfId="0" applyNumberFormat="1" applyFill="1" applyBorder="1" applyAlignment="1">
      <alignment horizontal="center" vertical="top"/>
    </xf>
    <xf numFmtId="49" fontId="16" fillId="0" borderId="1" xfId="0" applyNumberFormat="1" applyFont="1" applyFill="1" applyBorder="1" applyAlignment="1" applyProtection="1">
      <alignment vertical="top"/>
      <protection locked="0"/>
    </xf>
    <xf numFmtId="0" fontId="22" fillId="9" borderId="1" xfId="0" applyFont="1" applyFill="1" applyBorder="1" applyAlignment="1" applyProtection="1">
      <alignment vertical="top"/>
    </xf>
    <xf numFmtId="14" fontId="16" fillId="0" borderId="1" xfId="0" applyNumberFormat="1" applyFont="1" applyFill="1" applyBorder="1" applyAlignment="1" applyProtection="1">
      <alignment vertical="top"/>
      <protection locked="0"/>
    </xf>
    <xf numFmtId="169" fontId="16" fillId="8" borderId="0" xfId="0" applyNumberFormat="1" applyFont="1" applyFill="1" applyBorder="1" applyAlignment="1" applyProtection="1">
      <alignment horizontal="center" vertical="top" shrinkToFit="1"/>
    </xf>
    <xf numFmtId="169" fontId="16" fillId="0" borderId="81" xfId="0" applyNumberFormat="1" applyFont="1" applyFill="1" applyBorder="1" applyAlignment="1" applyProtection="1">
      <alignment horizontal="center" vertical="top"/>
    </xf>
    <xf numFmtId="170" fontId="16" fillId="0" borderId="38" xfId="0" applyNumberFormat="1" applyFont="1" applyFill="1" applyBorder="1" applyAlignment="1" applyProtection="1">
      <alignment horizontal="center" vertical="top"/>
      <protection locked="0"/>
    </xf>
    <xf numFmtId="49" fontId="16" fillId="0" borderId="17" xfId="0" applyNumberFormat="1" applyFont="1" applyFill="1" applyBorder="1" applyAlignment="1" applyProtection="1">
      <alignment vertical="top"/>
      <protection locked="0"/>
    </xf>
    <xf numFmtId="0" fontId="22" fillId="9" borderId="17" xfId="0" applyFont="1" applyFill="1" applyBorder="1" applyAlignment="1" applyProtection="1">
      <alignment vertical="top"/>
    </xf>
    <xf numFmtId="14" fontId="16" fillId="0" borderId="17" xfId="0" applyNumberFormat="1" applyFont="1" applyFill="1" applyBorder="1" applyAlignment="1" applyProtection="1">
      <alignment vertical="top"/>
      <protection locked="0"/>
    </xf>
    <xf numFmtId="169" fontId="16" fillId="8" borderId="38" xfId="0" applyNumberFormat="1" applyFont="1" applyFill="1" applyBorder="1" applyAlignment="1" applyProtection="1">
      <alignment horizontal="center" vertical="top" shrinkToFit="1"/>
    </xf>
    <xf numFmtId="169" fontId="16" fillId="8" borderId="16" xfId="0" applyNumberFormat="1" applyFont="1" applyFill="1" applyBorder="1" applyAlignment="1" applyProtection="1">
      <alignment horizontal="center" vertical="top" shrinkToFit="1"/>
    </xf>
    <xf numFmtId="169" fontId="16" fillId="0" borderId="82" xfId="0" applyNumberFormat="1" applyFont="1" applyFill="1" applyBorder="1" applyAlignment="1" applyProtection="1">
      <alignment horizontal="center" vertical="top"/>
    </xf>
    <xf numFmtId="0" fontId="19" fillId="0" borderId="41" xfId="0" applyNumberFormat="1" applyFont="1" applyBorder="1" applyAlignment="1" applyProtection="1">
      <alignment horizontal="center" vertical="top"/>
      <protection locked="0"/>
    </xf>
    <xf numFmtId="0" fontId="19" fillId="0" borderId="42" xfId="0" applyNumberFormat="1" applyFont="1" applyBorder="1" applyAlignment="1" applyProtection="1">
      <alignment horizontal="center" vertical="top"/>
      <protection locked="0"/>
    </xf>
    <xf numFmtId="0" fontId="19" fillId="0" borderId="42" xfId="0" applyNumberFormat="1" applyFont="1" applyFill="1" applyBorder="1" applyAlignment="1" applyProtection="1">
      <alignment horizontal="center" vertical="top"/>
      <protection locked="0"/>
    </xf>
    <xf numFmtId="0" fontId="19" fillId="0" borderId="43" xfId="0" applyNumberFormat="1" applyFont="1" applyBorder="1" applyAlignment="1" applyProtection="1">
      <alignment horizontal="center" vertical="top"/>
      <protection locked="0"/>
    </xf>
    <xf numFmtId="0" fontId="19" fillId="0" borderId="85" xfId="0" applyNumberFormat="1" applyFont="1" applyBorder="1" applyAlignment="1" applyProtection="1">
      <alignment horizontal="center" vertical="top"/>
      <protection locked="0"/>
    </xf>
    <xf numFmtId="0" fontId="19" fillId="0" borderId="17" xfId="0" applyNumberFormat="1" applyFont="1" applyBorder="1" applyAlignment="1" applyProtection="1">
      <alignment horizontal="center" vertical="top"/>
      <protection locked="0"/>
    </xf>
    <xf numFmtId="0" fontId="26" fillId="0" borderId="16" xfId="0" applyFont="1" applyFill="1" applyBorder="1" applyAlignment="1" applyProtection="1">
      <alignment horizontal="left" vertical="top"/>
      <protection locked="0"/>
    </xf>
    <xf numFmtId="0" fontId="16" fillId="0" borderId="16" xfId="0" applyFont="1" applyBorder="1" applyAlignment="1">
      <alignment horizontal="center" vertical="top"/>
    </xf>
    <xf numFmtId="0" fontId="22" fillId="8" borderId="19" xfId="3" applyFont="1" applyFill="1" applyBorder="1" applyAlignment="1" applyProtection="1">
      <alignment horizontal="left" vertical="top" wrapText="1"/>
      <protection locked="0"/>
    </xf>
    <xf numFmtId="0" fontId="0" fillId="0" borderId="38" xfId="0" applyFill="1" applyBorder="1" applyAlignment="1" applyProtection="1">
      <alignment horizontal="left" vertical="top"/>
      <protection locked="0"/>
    </xf>
    <xf numFmtId="169" fontId="0" fillId="7" borderId="19" xfId="0" applyNumberFormat="1" applyFont="1" applyFill="1" applyBorder="1" applyAlignment="1" applyProtection="1">
      <alignment horizontal="center" vertical="top"/>
    </xf>
    <xf numFmtId="170" fontId="0" fillId="7" borderId="19" xfId="0" applyNumberFormat="1" applyFill="1" applyBorder="1" applyAlignment="1">
      <alignment horizontal="center" vertical="top"/>
    </xf>
    <xf numFmtId="169" fontId="0" fillId="7" borderId="19" xfId="0" applyNumberFormat="1" applyFill="1" applyBorder="1" applyAlignment="1" applyProtection="1">
      <alignment horizontal="center" vertical="top"/>
    </xf>
    <xf numFmtId="0" fontId="16" fillId="8" borderId="19" xfId="0" applyFont="1" applyFill="1" applyBorder="1" applyAlignment="1" applyProtection="1">
      <alignment horizontal="left" vertical="top" wrapText="1"/>
      <protection locked="0"/>
    </xf>
    <xf numFmtId="0" fontId="11" fillId="0" borderId="30" xfId="0" applyFont="1" applyBorder="1" applyAlignment="1">
      <alignment vertical="center"/>
    </xf>
    <xf numFmtId="169" fontId="16" fillId="0" borderId="29" xfId="0" applyNumberFormat="1" applyFont="1" applyFill="1" applyBorder="1" applyAlignment="1" applyProtection="1">
      <alignment horizontal="center" vertical="top"/>
    </xf>
    <xf numFmtId="169" fontId="22" fillId="0" borderId="1" xfId="0" applyNumberFormat="1" applyFont="1" applyBorder="1" applyAlignment="1" applyProtection="1">
      <alignment horizontal="center" vertical="top"/>
    </xf>
    <xf numFmtId="169" fontId="22" fillId="0" borderId="1" xfId="0" applyNumberFormat="1" applyFont="1" applyFill="1" applyBorder="1" applyAlignment="1" applyProtection="1">
      <alignment horizontal="center" vertical="top"/>
    </xf>
    <xf numFmtId="0" fontId="51" fillId="0" borderId="1" xfId="0" applyNumberFormat="1" applyFont="1" applyBorder="1" applyAlignment="1" applyProtection="1">
      <alignment horizontal="center" vertical="top"/>
      <protection locked="0"/>
    </xf>
    <xf numFmtId="0" fontId="16" fillId="0" borderId="1" xfId="0" applyFont="1" applyBorder="1"/>
    <xf numFmtId="169" fontId="22" fillId="0" borderId="1" xfId="0" applyNumberFormat="1" applyFont="1" applyFill="1" applyBorder="1" applyAlignment="1" applyProtection="1">
      <alignment horizontal="center" vertical="top" shrinkToFit="1"/>
    </xf>
    <xf numFmtId="0" fontId="52" fillId="0" borderId="1" xfId="0" applyNumberFormat="1" applyFont="1" applyBorder="1" applyAlignment="1" applyProtection="1">
      <alignment horizontal="center" vertical="top"/>
    </xf>
    <xf numFmtId="168" fontId="8" fillId="7" borderId="0" xfId="2" applyNumberFormat="1" applyFont="1" applyFill="1" applyBorder="1" applyAlignment="1" applyProtection="1">
      <alignment horizontal="center" vertical="top"/>
      <protection locked="0"/>
    </xf>
    <xf numFmtId="168" fontId="4" fillId="0" borderId="30" xfId="0" applyNumberFormat="1" applyFont="1" applyFill="1" applyBorder="1" applyAlignment="1" applyProtection="1">
      <alignment vertical="top"/>
    </xf>
    <xf numFmtId="168" fontId="0" fillId="19" borderId="59" xfId="0" applyNumberFormat="1" applyFont="1" applyFill="1" applyBorder="1" applyAlignment="1" applyProtection="1">
      <alignment vertical="center" shrinkToFit="1"/>
      <protection locked="0"/>
    </xf>
    <xf numFmtId="169" fontId="0" fillId="7" borderId="17" xfId="0" applyNumberFormat="1" applyFill="1" applyBorder="1" applyAlignment="1" applyProtection="1">
      <alignment horizontal="center" vertical="top"/>
    </xf>
    <xf numFmtId="0" fontId="22" fillId="8" borderId="89" xfId="0" applyFont="1" applyFill="1" applyBorder="1" applyAlignment="1" applyProtection="1">
      <alignment horizontal="left" vertical="top" wrapText="1"/>
      <protection locked="0"/>
    </xf>
    <xf numFmtId="168" fontId="15" fillId="10" borderId="71" xfId="0" applyNumberFormat="1" applyFont="1" applyFill="1" applyBorder="1" applyAlignment="1" applyProtection="1">
      <alignment vertical="center" shrinkToFit="1"/>
      <protection locked="0"/>
    </xf>
    <xf numFmtId="0" fontId="6" fillId="0" borderId="19" xfId="0" applyFont="1" applyBorder="1" applyAlignment="1" applyProtection="1">
      <alignment horizontal="left" vertical="top" wrapText="1"/>
      <protection locked="0"/>
    </xf>
    <xf numFmtId="0" fontId="0" fillId="0" borderId="33" xfId="2" applyFont="1" applyBorder="1" applyAlignment="1" applyProtection="1">
      <alignment horizontal="left"/>
      <protection locked="0"/>
    </xf>
    <xf numFmtId="168" fontId="0" fillId="13" borderId="2" xfId="2" applyNumberFormat="1" applyFont="1" applyFill="1" applyBorder="1" applyAlignment="1" applyProtection="1">
      <alignment horizontal="right" vertical="top" textRotation="90"/>
      <protection locked="0"/>
    </xf>
    <xf numFmtId="168" fontId="8" fillId="13" borderId="0" xfId="2" applyNumberFormat="1" applyFont="1" applyFill="1" applyBorder="1" applyAlignment="1" applyProtection="1">
      <alignment horizontal="center" vertical="top"/>
      <protection locked="0"/>
    </xf>
    <xf numFmtId="168" fontId="8" fillId="13" borderId="29" xfId="2" applyNumberFormat="1" applyFont="1" applyFill="1" applyBorder="1" applyAlignment="1" applyProtection="1">
      <alignment horizontal="center" vertical="top"/>
      <protection locked="0"/>
    </xf>
    <xf numFmtId="168" fontId="0" fillId="7" borderId="0" xfId="2" applyNumberFormat="1" applyFont="1" applyFill="1" applyBorder="1" applyAlignment="1" applyProtection="1">
      <alignment horizontal="center" vertical="top"/>
      <protection locked="0"/>
    </xf>
    <xf numFmtId="0" fontId="0" fillId="18" borderId="37" xfId="0" applyFont="1" applyFill="1" applyBorder="1" applyAlignment="1">
      <alignment horizontal="center"/>
    </xf>
    <xf numFmtId="0" fontId="0" fillId="7" borderId="37" xfId="0" applyFont="1" applyFill="1" applyBorder="1" applyAlignment="1" applyProtection="1">
      <alignment horizontal="center"/>
      <protection locked="0"/>
    </xf>
    <xf numFmtId="168" fontId="4" fillId="18" borderId="37" xfId="0" applyNumberFormat="1" applyFont="1" applyFill="1" applyBorder="1" applyAlignment="1" applyProtection="1">
      <alignment horizontal="center"/>
      <protection locked="0"/>
    </xf>
  </cellXfs>
  <cellStyles count="4">
    <cellStyle name="Good" xfId="3" builtinId="26"/>
    <cellStyle name="Normal" xfId="0" builtinId="0"/>
    <cellStyle name="Normal_Sheet1" xfId="1"/>
    <cellStyle name="標準 2" xfId="2"/>
  </cellStyles>
  <dxfs count="211">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rgb="FF00B050"/>
      </font>
      <fill>
        <patternFill>
          <bgColor rgb="FF00B050"/>
        </patternFill>
      </fill>
    </dxf>
    <dxf>
      <font>
        <color rgb="FFFF0000"/>
      </font>
      <fill>
        <patternFill>
          <bgColor rgb="FFFF0000"/>
        </patternFill>
      </fill>
    </dxf>
    <dxf>
      <font>
        <color rgb="FFFFC000"/>
      </font>
      <fill>
        <patternFill>
          <bgColor rgb="FFFFC000"/>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color rgb="FF00B050"/>
      </font>
      <fill>
        <patternFill>
          <bgColor rgb="FF00B050"/>
        </patternFill>
      </fill>
    </dxf>
    <dxf>
      <font>
        <color rgb="FFFF0000"/>
      </font>
      <fill>
        <patternFill>
          <bgColor rgb="FFFF0000"/>
        </patternFill>
      </fill>
    </dxf>
    <dxf>
      <font>
        <color rgb="FFFFC000"/>
      </font>
      <fill>
        <patternFill>
          <bgColor rgb="FFFFC000"/>
        </patternFill>
      </fill>
    </dxf>
    <dxf>
      <fill>
        <patternFill>
          <bgColor rgb="FFFFFF00"/>
        </patternFill>
      </fill>
    </dxf>
    <dxf>
      <fill>
        <patternFill>
          <bgColor rgb="FF2AF634"/>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i val="0"/>
        <strike val="0"/>
      </font>
    </dxf>
    <dxf>
      <font>
        <b/>
        <i val="0"/>
      </font>
    </dxf>
    <dxf>
      <font>
        <b/>
        <i val="0"/>
      </font>
    </dxf>
    <dxf>
      <font>
        <color theme="0" tint="-0.14996795556505021"/>
      </font>
      <fill>
        <patternFill>
          <bgColor theme="0" tint="-0.14996795556505021"/>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theme="0" tint="-0.34998626667073579"/>
        </patternFill>
      </fill>
    </dxf>
    <dxf>
      <font>
        <color theme="9" tint="0.39994506668294322"/>
      </font>
      <fill>
        <patternFill>
          <bgColor theme="9" tint="0.39994506668294322"/>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ont>
        <b val="0"/>
        <i val="0"/>
        <color auto="1"/>
      </font>
      <fill>
        <patternFill>
          <bgColor theme="7" tint="0.59996337778862885"/>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ont>
        <color theme="0"/>
      </font>
      <fill>
        <patternFill>
          <bgColor theme="2" tint="-0.89996032593768116"/>
        </patternFill>
      </fill>
    </dxf>
    <dxf>
      <fill>
        <patternFill patternType="none">
          <fgColor indexed="64"/>
          <bgColor indexed="65"/>
        </patternFill>
      </fill>
    </dxf>
  </dxfs>
  <tableStyles count="0" defaultTableStyle="TableStyleMedium2" defaultPivotStyle="PivotStyleLight16"/>
  <colors>
    <mruColors>
      <color rgb="FF66FF33"/>
      <color rgb="FF00FF00"/>
      <color rgb="FFCC00CC"/>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en-GB"/>
              <a:t>TotalDR / week</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2342803640772972E-2"/>
          <c:y val="0.27040129289978954"/>
          <c:w val="0.93684376705387085"/>
          <c:h val="0.56047418623020684"/>
        </c:manualLayout>
      </c:layout>
      <c:barChart>
        <c:barDir val="col"/>
        <c:grouping val="clustered"/>
        <c:varyColors val="0"/>
        <c:ser>
          <c:idx val="0"/>
          <c:order val="0"/>
          <c:spPr>
            <a:solidFill>
              <a:schemeClr val="accent1"/>
            </a:solidFill>
            <a:ln>
              <a:noFill/>
            </a:ln>
            <a:effectLst/>
          </c:spPr>
          <c:invertIfNegative val="0"/>
          <c:cat>
            <c:strRef>
              <c:f>RBJP!$W$2:$AW$2</c:f>
              <c:strCache>
                <c:ptCount val="22"/>
                <c:pt idx="0">
                  <c:v>24</c:v>
                </c:pt>
                <c:pt idx="1">
                  <c:v>25</c:v>
                </c:pt>
                <c:pt idx="2">
                  <c:v>26</c:v>
                </c:pt>
                <c:pt idx="3">
                  <c:v>27</c:v>
                </c:pt>
                <c:pt idx="4">
                  <c:v>28</c:v>
                </c:pt>
                <c:pt idx="5">
                  <c:v>29</c:v>
                </c:pt>
                <c:pt idx="6">
                  <c:v>30</c:v>
                </c:pt>
                <c:pt idx="7">
                  <c:v>31</c:v>
                </c:pt>
                <c:pt idx="8">
                  <c:v>32</c:v>
                </c:pt>
                <c:pt idx="9">
                  <c:v>33</c:v>
                </c:pt>
                <c:pt idx="10">
                  <c:v>34</c:v>
                </c:pt>
                <c:pt idx="11">
                  <c:v>35</c:v>
                </c:pt>
                <c:pt idx="12">
                  <c:v>36</c:v>
                </c:pt>
                <c:pt idx="13">
                  <c:v>37</c:v>
                </c:pt>
                <c:pt idx="14">
                  <c:v>38</c:v>
                </c:pt>
                <c:pt idx="15">
                  <c:v>39</c:v>
                </c:pt>
                <c:pt idx="16">
                  <c:v>40</c:v>
                </c:pt>
                <c:pt idx="17">
                  <c:v>41</c:v>
                </c:pt>
                <c:pt idx="18">
                  <c:v>42</c:v>
                </c:pt>
                <c:pt idx="19">
                  <c:v>43</c:v>
                </c:pt>
                <c:pt idx="20">
                  <c:v>44</c:v>
                </c:pt>
                <c:pt idx="21">
                  <c:v>DR steps　(Bosch maintenance)　</c:v>
                </c:pt>
              </c:strCache>
            </c:strRef>
          </c:cat>
          <c:val>
            <c:numRef>
              <c:f>RBJP!$W$94:$AW$94</c:f>
              <c:numCache>
                <c:formatCode>General</c:formatCode>
                <c:ptCount val="27"/>
                <c:pt idx="0">
                  <c:v>5</c:v>
                </c:pt>
                <c:pt idx="1">
                  <c:v>2</c:v>
                </c:pt>
                <c:pt idx="2">
                  <c:v>3</c:v>
                </c:pt>
                <c:pt idx="3">
                  <c:v>3</c:v>
                </c:pt>
                <c:pt idx="4">
                  <c:v>0</c:v>
                </c:pt>
                <c:pt idx="5">
                  <c:v>2</c:v>
                </c:pt>
                <c:pt idx="6">
                  <c:v>0</c:v>
                </c:pt>
                <c:pt idx="7">
                  <c:v>1</c:v>
                </c:pt>
                <c:pt idx="8">
                  <c:v>0</c:v>
                </c:pt>
                <c:pt idx="9">
                  <c:v>0</c:v>
                </c:pt>
                <c:pt idx="10">
                  <c:v>0</c:v>
                </c:pt>
                <c:pt idx="11">
                  <c:v>0</c:v>
                </c:pt>
                <c:pt idx="12">
                  <c:v>0</c:v>
                </c:pt>
                <c:pt idx="13">
                  <c:v>0</c:v>
                </c:pt>
                <c:pt idx="14">
                  <c:v>1</c:v>
                </c:pt>
                <c:pt idx="15">
                  <c:v>0</c:v>
                </c:pt>
                <c:pt idx="17">
                  <c:v>0</c:v>
                </c:pt>
                <c:pt idx="18">
                  <c:v>0</c:v>
                </c:pt>
                <c:pt idx="19">
                  <c:v>0</c:v>
                </c:pt>
                <c:pt idx="20">
                  <c:v>0</c:v>
                </c:pt>
              </c:numCache>
            </c:numRef>
          </c:val>
          <c:extLst xmlns:c16r2="http://schemas.microsoft.com/office/drawing/2015/06/chart">
            <c:ext xmlns:c16="http://schemas.microsoft.com/office/drawing/2014/chart" uri="{C3380CC4-5D6E-409C-BE32-E72D297353CC}">
              <c16:uniqueId val="{00000000-EBCF-463C-9649-A830407253B2}"/>
            </c:ext>
          </c:extLst>
        </c:ser>
        <c:dLbls>
          <c:showLegendKey val="0"/>
          <c:showVal val="0"/>
          <c:showCatName val="0"/>
          <c:showSerName val="0"/>
          <c:showPercent val="0"/>
          <c:showBubbleSize val="0"/>
        </c:dLbls>
        <c:gapWidth val="0"/>
        <c:overlap val="-27"/>
        <c:axId val="174406280"/>
        <c:axId val="175185768"/>
      </c:barChart>
      <c:catAx>
        <c:axId val="174406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75185768"/>
        <c:crosses val="autoZero"/>
        <c:auto val="1"/>
        <c:lblAlgn val="ctr"/>
        <c:lblOffset val="100"/>
        <c:noMultiLvlLbl val="0"/>
      </c:catAx>
      <c:valAx>
        <c:axId val="175185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74406280"/>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[Rel_WDB_Jatco_template.xlsm]On-time graph!PivotTable1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FF0000"/>
          </a:solidFill>
          <a:ln>
            <a:noFill/>
          </a:ln>
          <a:effectLst/>
        </c:spPr>
        <c:marker>
          <c:symbol val="none"/>
        </c:marker>
      </c:pivotFmt>
      <c:pivotFmt>
        <c:idx val="5"/>
        <c:spPr>
          <a:solidFill>
            <a:srgbClr val="00B050"/>
          </a:solidFill>
          <a:ln>
            <a:noFill/>
          </a:ln>
          <a:effectLst/>
        </c:spPr>
        <c:marker>
          <c:symbol val="none"/>
        </c:marker>
      </c:pivotFmt>
    </c:pivotFmts>
    <c:plotArea>
      <c:layout/>
      <c:barChart>
        <c:barDir val="col"/>
        <c:grouping val="stacked"/>
        <c:varyColors val="0"/>
        <c:ser>
          <c:idx val="0"/>
          <c:order val="0"/>
          <c:tx>
            <c:strRef>
              <c:f>'On-time graph'!$B$4:$B$5</c:f>
              <c:strCache>
                <c:ptCount val="1"/>
                <c:pt idx="0">
                  <c:v>n</c:v>
                </c:pt>
              </c:strCache>
            </c:strRef>
          </c:tx>
          <c:spPr>
            <a:solidFill>
              <a:srgbClr val="FF0000"/>
            </a:solidFill>
            <a:ln>
              <a:noFill/>
            </a:ln>
            <a:effectLst/>
          </c:spPr>
          <c:invertIfNegative val="0"/>
          <c:cat>
            <c:strRef>
              <c:f>'On-time graph'!$A$6:$A$12</c:f>
              <c:strCache>
                <c:ptCount val="6"/>
                <c:pt idx="0">
                  <c:v>47</c:v>
                </c:pt>
                <c:pt idx="1">
                  <c:v>48</c:v>
                </c:pt>
                <c:pt idx="2">
                  <c:v>49</c:v>
                </c:pt>
                <c:pt idx="3">
                  <c:v>50</c:v>
                </c:pt>
                <c:pt idx="4">
                  <c:v>51</c:v>
                </c:pt>
                <c:pt idx="5">
                  <c:v>52</c:v>
                </c:pt>
              </c:strCache>
            </c:strRef>
          </c:cat>
          <c:val>
            <c:numRef>
              <c:f>'On-time graph'!$B$6:$B$12</c:f>
              <c:numCache>
                <c:formatCode>General</c:formatCode>
                <c:ptCount val="6"/>
                <c:pt idx="0">
                  <c:v>4</c:v>
                </c:pt>
                <c:pt idx="1">
                  <c:v>5</c:v>
                </c:pt>
                <c:pt idx="2">
                  <c:v>4</c:v>
                </c:pt>
                <c:pt idx="3">
                  <c:v>3</c:v>
                </c:pt>
                <c:pt idx="4">
                  <c:v>1</c:v>
                </c:pt>
                <c:pt idx="5">
                  <c:v>2</c:v>
                </c:pt>
              </c:numCache>
            </c:numRef>
          </c:val>
          <c:extLst xmlns:c16r2="http://schemas.microsoft.com/office/drawing/2015/06/chart">
            <c:ext xmlns:c16="http://schemas.microsoft.com/office/drawing/2014/chart" uri="{C3380CC4-5D6E-409C-BE32-E72D297353CC}">
              <c16:uniqueId val="{00000000-6AC2-4D5B-872E-AAF374011F42}"/>
            </c:ext>
          </c:extLst>
        </c:ser>
        <c:ser>
          <c:idx val="1"/>
          <c:order val="1"/>
          <c:tx>
            <c:strRef>
              <c:f>'On-time graph'!$C$4:$C$5</c:f>
              <c:strCache>
                <c:ptCount val="1"/>
                <c:pt idx="0">
                  <c:v>y</c:v>
                </c:pt>
              </c:strCache>
            </c:strRef>
          </c:tx>
          <c:spPr>
            <a:solidFill>
              <a:srgbClr val="00B050"/>
            </a:solidFill>
            <a:ln>
              <a:noFill/>
            </a:ln>
            <a:effectLst/>
          </c:spPr>
          <c:invertIfNegative val="0"/>
          <c:cat>
            <c:strRef>
              <c:f>'On-time graph'!$A$6:$A$12</c:f>
              <c:strCache>
                <c:ptCount val="6"/>
                <c:pt idx="0">
                  <c:v>47</c:v>
                </c:pt>
                <c:pt idx="1">
                  <c:v>48</c:v>
                </c:pt>
                <c:pt idx="2">
                  <c:v>49</c:v>
                </c:pt>
                <c:pt idx="3">
                  <c:v>50</c:v>
                </c:pt>
                <c:pt idx="4">
                  <c:v>51</c:v>
                </c:pt>
                <c:pt idx="5">
                  <c:v>52</c:v>
                </c:pt>
              </c:strCache>
            </c:strRef>
          </c:cat>
          <c:val>
            <c:numRef>
              <c:f>'On-time graph'!$C$6:$C$12</c:f>
              <c:numCache>
                <c:formatCode>General</c:formatCode>
                <c:ptCount val="6"/>
                <c:pt idx="1">
                  <c:v>5</c:v>
                </c:pt>
                <c:pt idx="2">
                  <c:v>4</c:v>
                </c:pt>
                <c:pt idx="3">
                  <c:v>6</c:v>
                </c:pt>
                <c:pt idx="5">
                  <c:v>2</c:v>
                </c:pt>
              </c:numCache>
            </c:numRef>
          </c:val>
          <c:extLst xmlns:c16r2="http://schemas.microsoft.com/office/drawing/2015/06/chart">
            <c:ext xmlns:c16="http://schemas.microsoft.com/office/drawing/2014/chart" uri="{C3380CC4-5D6E-409C-BE32-E72D297353CC}">
              <c16:uniqueId val="{00000003-6AC2-4D5B-872E-AAF374011F42}"/>
            </c:ext>
          </c:extLst>
        </c:ser>
        <c:dLbls>
          <c:showLegendKey val="0"/>
          <c:showVal val="0"/>
          <c:showCatName val="0"/>
          <c:showSerName val="0"/>
          <c:showPercent val="0"/>
          <c:showBubbleSize val="0"/>
        </c:dLbls>
        <c:gapWidth val="219"/>
        <c:overlap val="100"/>
        <c:axId val="175114192"/>
        <c:axId val="173940992"/>
      </c:barChart>
      <c:catAx>
        <c:axId val="17511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73940992"/>
        <c:crosses val="autoZero"/>
        <c:auto val="1"/>
        <c:lblAlgn val="ctr"/>
        <c:lblOffset val="100"/>
        <c:noMultiLvlLbl val="0"/>
      </c:catAx>
      <c:valAx>
        <c:axId val="173940992"/>
        <c:scaling>
          <c:orientation val="minMax"/>
          <c:max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75114192"/>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10</xdr:col>
      <xdr:colOff>1352413</xdr:colOff>
      <xdr:row>81</xdr:row>
      <xdr:rowOff>39912</xdr:rowOff>
    </xdr:from>
    <xdr:to>
      <xdr:col>17</xdr:col>
      <xdr:colOff>447933</xdr:colOff>
      <xdr:row>92</xdr:row>
      <xdr:rowOff>130913</xdr:rowOff>
    </xdr:to>
    <xdr:graphicFrame macro="">
      <xdr:nvGraphicFramePr>
        <xdr:cNvPr id="15"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504825</xdr:colOff>
      <xdr:row>1</xdr:row>
      <xdr:rowOff>95249</xdr:rowOff>
    </xdr:from>
    <xdr:to>
      <xdr:col>17</xdr:col>
      <xdr:colOff>504825</xdr:colOff>
      <xdr:row>26</xdr:row>
      <xdr:rowOff>95249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sites.inside-share.bosch.com/sites/032548/Documents/Release%20database%20(WIP)/Work%20Packages/03_Internal_Customer_Alignment/Rel_WDB_Jatco_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ansbergen Bas (GS/QMC-JP)" refreshedDate="43103.338916435183" createdVersion="6" refreshedVersion="6" minRefreshableVersion="3" recordCount="36">
  <cacheSource type="worksheet">
    <worksheetSource ref="A1:G37" sheet="On-time sheet" r:id="rId2"/>
  </cacheSource>
  <cacheFields count="6">
    <cacheField name="CW" numFmtId="0">
      <sharedItems containsSemiMixedTypes="0" containsString="0" containsNumber="1" containsInteger="1" minValue="47" maxValue="52" count="6">
        <n v="47"/>
        <n v="48"/>
        <n v="49"/>
        <n v="50"/>
        <n v="51"/>
        <n v="52"/>
      </sharedItems>
    </cacheField>
    <cacheField name="Nr" numFmtId="0">
      <sharedItems containsSemiMixedTypes="0" containsString="0" containsNumber="1" containsInteger="1" minValue="132" maxValue="492" count="11">
        <n v="222"/>
        <n v="340"/>
        <n v="464"/>
        <n v="492"/>
        <n v="132"/>
        <n v="270"/>
        <n v="344"/>
        <n v="421"/>
        <n v="478"/>
        <n v="465"/>
        <n v="315"/>
      </sharedItems>
    </cacheField>
    <cacheField name="What" numFmtId="0">
      <sharedItems count="8">
        <s v="PSW A"/>
        <s v="PSW S"/>
        <s v="NPC R"/>
        <s v="PDR01"/>
        <s v="PDR2"/>
        <s v="PDR35"/>
        <s v="NPC S"/>
        <s v="NPCR"/>
      </sharedItems>
    </cacheField>
    <cacheField name="Y/N" numFmtId="0">
      <sharedItems count="2">
        <s v="n"/>
        <s v="y"/>
      </sharedItems>
    </cacheField>
    <cacheField name="Reason" numFmtId="0">
      <sharedItems containsBlank="1"/>
    </cacheField>
    <cacheField name="Unique" numFmtId="0">
      <sharedItems count="2">
        <s v="y"/>
        <s v="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
  <r>
    <x v="0"/>
    <x v="0"/>
    <x v="0"/>
    <x v="0"/>
    <s v="Homework in Spanish and JMEX audit"/>
    <x v="0"/>
  </r>
  <r>
    <x v="0"/>
    <x v="1"/>
    <x v="1"/>
    <x v="0"/>
    <s v="Send to QMC-JP on-time, submitted 1 day later to Jatco"/>
    <x v="0"/>
  </r>
  <r>
    <x v="0"/>
    <x v="2"/>
    <x v="1"/>
    <x v="0"/>
    <s v="Put on-hold, due to low priority"/>
    <x v="0"/>
  </r>
  <r>
    <x v="0"/>
    <x v="3"/>
    <x v="2"/>
    <x v="0"/>
    <s v="Due to Aperam, Jatco no time to work on NPC Reply"/>
    <x v="0"/>
  </r>
  <r>
    <x v="1"/>
    <x v="0"/>
    <x v="0"/>
    <x v="0"/>
    <s v="Homework in Spanish and JMEX audit"/>
    <x v="1"/>
  </r>
  <r>
    <x v="1"/>
    <x v="4"/>
    <x v="3"/>
    <x v="1"/>
    <m/>
    <x v="0"/>
  </r>
  <r>
    <x v="1"/>
    <x v="4"/>
    <x v="2"/>
    <x v="0"/>
    <s v="Incorrect planning "/>
    <x v="0"/>
  </r>
  <r>
    <x v="1"/>
    <x v="5"/>
    <x v="4"/>
    <x v="1"/>
    <m/>
    <x v="0"/>
  </r>
  <r>
    <x v="1"/>
    <x v="1"/>
    <x v="5"/>
    <x v="1"/>
    <s v="Conditional pass;Homework from PDR35"/>
    <x v="0"/>
  </r>
  <r>
    <x v="1"/>
    <x v="6"/>
    <x v="5"/>
    <x v="1"/>
    <s v="Conditional pass;Homework from PDR35"/>
    <x v="0"/>
  </r>
  <r>
    <x v="1"/>
    <x v="7"/>
    <x v="1"/>
    <x v="0"/>
    <s v="Delayed due to S-test result not available"/>
    <x v="0"/>
  </r>
  <r>
    <x v="1"/>
    <x v="8"/>
    <x v="1"/>
    <x v="0"/>
    <s v="Delayed due to S-test result not available"/>
    <x v="0"/>
  </r>
  <r>
    <x v="1"/>
    <x v="3"/>
    <x v="2"/>
    <x v="0"/>
    <s v="Due to Aperam, Jatco no time to work on NPC Reply"/>
    <x v="0"/>
  </r>
  <r>
    <x v="1"/>
    <x v="9"/>
    <x v="3"/>
    <x v="1"/>
    <m/>
    <x v="1"/>
  </r>
  <r>
    <x v="2"/>
    <x v="0"/>
    <x v="0"/>
    <x v="0"/>
    <s v="Homework in Spanish and JMEX audit"/>
    <x v="0"/>
  </r>
  <r>
    <x v="2"/>
    <x v="4"/>
    <x v="3"/>
    <x v="1"/>
    <m/>
    <x v="1"/>
  </r>
  <r>
    <x v="2"/>
    <x v="4"/>
    <x v="2"/>
    <x v="0"/>
    <s v="Incorrect planning "/>
    <x v="1"/>
  </r>
  <r>
    <x v="2"/>
    <x v="1"/>
    <x v="5"/>
    <x v="1"/>
    <s v="Conditional pass;Homework from PDR35"/>
    <x v="1"/>
  </r>
  <r>
    <x v="2"/>
    <x v="6"/>
    <x v="5"/>
    <x v="1"/>
    <s v="Conditional pass;Homework from PDR35"/>
    <x v="1"/>
  </r>
  <r>
    <x v="2"/>
    <x v="7"/>
    <x v="1"/>
    <x v="0"/>
    <s v="Delayed due to S-test result not available; submit to QMC-JP on original date"/>
    <x v="1"/>
  </r>
  <r>
    <x v="2"/>
    <x v="8"/>
    <x v="1"/>
    <x v="0"/>
    <s v="Delayed due to S-test result not available; submit to QMC-JP on original date"/>
    <x v="1"/>
  </r>
  <r>
    <x v="2"/>
    <x v="9"/>
    <x v="3"/>
    <x v="1"/>
    <m/>
    <x v="1"/>
  </r>
  <r>
    <x v="3"/>
    <x v="0"/>
    <x v="0"/>
    <x v="0"/>
    <s v="Waiting for JMEX to give approval"/>
    <x v="1"/>
  </r>
  <r>
    <x v="3"/>
    <x v="4"/>
    <x v="2"/>
    <x v="0"/>
    <s v="Incorrect planning "/>
    <x v="1"/>
  </r>
  <r>
    <x v="3"/>
    <x v="5"/>
    <x v="5"/>
    <x v="0"/>
    <s v="Due to Jatco internal timing, only 30 minutes of PDR3 held"/>
    <x v="0"/>
  </r>
  <r>
    <x v="3"/>
    <x v="1"/>
    <x v="0"/>
    <x v="1"/>
    <m/>
    <x v="0"/>
  </r>
  <r>
    <x v="3"/>
    <x v="7"/>
    <x v="5"/>
    <x v="1"/>
    <m/>
    <x v="0"/>
  </r>
  <r>
    <x v="3"/>
    <x v="7"/>
    <x v="0"/>
    <x v="1"/>
    <m/>
    <x v="0"/>
  </r>
  <r>
    <x v="3"/>
    <x v="8"/>
    <x v="5"/>
    <x v="1"/>
    <m/>
    <x v="0"/>
  </r>
  <r>
    <x v="3"/>
    <x v="8"/>
    <x v="0"/>
    <x v="1"/>
    <m/>
    <x v="0"/>
  </r>
  <r>
    <x v="3"/>
    <x v="9"/>
    <x v="2"/>
    <x v="1"/>
    <m/>
    <x v="0"/>
  </r>
  <r>
    <x v="4"/>
    <x v="0"/>
    <x v="0"/>
    <x v="0"/>
    <s v="Waiting for JMEX to give approval"/>
    <x v="1"/>
  </r>
  <r>
    <x v="5"/>
    <x v="0"/>
    <x v="0"/>
    <x v="0"/>
    <s v="Waiting for JMEX to give approval"/>
    <x v="1"/>
  </r>
  <r>
    <x v="5"/>
    <x v="6"/>
    <x v="0"/>
    <x v="1"/>
    <m/>
    <x v="0"/>
  </r>
  <r>
    <x v="5"/>
    <x v="10"/>
    <x v="6"/>
    <x v="0"/>
    <s v="Submit after weekend"/>
    <x v="0"/>
  </r>
  <r>
    <x v="5"/>
    <x v="10"/>
    <x v="7"/>
    <x v="1"/>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D12" firstHeaderRow="1" firstDataRow="2" firstDataCol="1" rowPageCount="2" colPageCount="1"/>
  <pivotFields count="6">
    <pivotField axis="axisRow" showAll="0">
      <items count="7">
        <item sd="0" x="0"/>
        <item sd="0" x="1"/>
        <item sd="0" x="2"/>
        <item sd="0" x="3"/>
        <item sd="0" x="4"/>
        <item sd="0" x="5"/>
        <item t="default" sd="0"/>
      </items>
    </pivotField>
    <pivotField axis="axisPage" showAll="0">
      <items count="12">
        <item x="4"/>
        <item x="0"/>
        <item x="5"/>
        <item x="10"/>
        <item x="1"/>
        <item x="6"/>
        <item x="7"/>
        <item x="2"/>
        <item x="9"/>
        <item x="8"/>
        <item x="3"/>
        <item t="default"/>
      </items>
    </pivotField>
    <pivotField axis="axisRow" showAll="0">
      <items count="9">
        <item x="2"/>
        <item x="6"/>
        <item x="7"/>
        <item x="3"/>
        <item x="4"/>
        <item x="5"/>
        <item x="0"/>
        <item x="1"/>
        <item t="default"/>
      </items>
    </pivotField>
    <pivotField axis="axisCol" dataField="1" showAll="0">
      <items count="3">
        <item x="0"/>
        <item x="1"/>
        <item t="default"/>
      </items>
    </pivotField>
    <pivotField showAll="0" defaultSubtotal="0"/>
    <pivotField axis="axisPage" showAll="0" defaultSubtotal="0">
      <items count="2">
        <item x="1"/>
        <item x="0"/>
      </items>
    </pivotField>
  </pivotFields>
  <rowFields count="2">
    <field x="0"/>
    <field x="2"/>
  </rowFields>
  <rowItems count="7">
    <i>
      <x/>
    </i>
    <i>
      <x v="1"/>
    </i>
    <i>
      <x v="2"/>
    </i>
    <i>
      <x v="3"/>
    </i>
    <i>
      <x v="4"/>
    </i>
    <i>
      <x v="5"/>
    </i>
    <i t="grand">
      <x/>
    </i>
  </rowItems>
  <colFields count="1">
    <field x="3"/>
  </colFields>
  <colItems count="3">
    <i>
      <x/>
    </i>
    <i>
      <x v="1"/>
    </i>
    <i t="grand">
      <x/>
    </i>
  </colItems>
  <pageFields count="2">
    <pageField fld="1" hier="-1"/>
    <pageField fld="5" hier="-1"/>
  </pageFields>
  <dataFields count="1">
    <dataField name="Count of Y/N" fld="3" subtotal="count" baseField="0" baseItem="3"/>
  </dataFields>
  <chartFormats count="2">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17"/>
  <sheetViews>
    <sheetView showZeros="0" zoomScale="85" zoomScaleNormal="85" zoomScaleSheetLayoutView="100" workbookViewId="0">
      <pane xSplit="11" ySplit="3" topLeftCell="U52" activePane="bottomRight" state="frozen"/>
      <selection pane="topRight" activeCell="L1" sqref="L1"/>
      <selection pane="bottomLeft" activeCell="A4" sqref="A4"/>
      <selection pane="bottomRight" activeCell="U24" sqref="U24"/>
    </sheetView>
  </sheetViews>
  <sheetFormatPr defaultColWidth="9.140625" defaultRowHeight="12.75" outlineLevelRow="1" outlineLevelCol="2"/>
  <cols>
    <col min="1" max="1" width="5.28515625" style="24" hidden="1" customWidth="1" outlineLevel="1"/>
    <col min="2" max="2" width="6.5703125" style="24" hidden="1" customWidth="1" outlineLevel="1"/>
    <col min="3" max="3" width="5" style="7" customWidth="1" collapsed="1"/>
    <col min="4" max="4" width="6.5703125" style="30" customWidth="1"/>
    <col min="5" max="5" width="5.7109375" style="7" customWidth="1"/>
    <col min="6" max="6" width="40.5703125" style="325" customWidth="1"/>
    <col min="7" max="7" width="7.140625" style="7" customWidth="1"/>
    <col min="8" max="8" width="7.5703125" style="7" customWidth="1"/>
    <col min="9" max="9" width="8.28515625" style="333" customWidth="1"/>
    <col min="10" max="10" width="9.42578125" style="7" hidden="1" customWidth="1"/>
    <col min="11" max="11" width="10.28515625" style="14" hidden="1" customWidth="1"/>
    <col min="12" max="12" width="6.28515625" style="52" customWidth="1" outlineLevel="1"/>
    <col min="13" max="14" width="5.85546875" style="14" customWidth="1" outlineLevel="1"/>
    <col min="15" max="15" width="5.85546875" style="304" customWidth="1" outlineLevel="1"/>
    <col min="16" max="17" width="6" style="52" customWidth="1" outlineLevel="1"/>
    <col min="18" max="18" width="6.140625" style="52" customWidth="1" outlineLevel="1"/>
    <col min="19" max="19" width="5.85546875" style="304" customWidth="1" outlineLevel="1"/>
    <col min="20" max="20" width="5.85546875" style="304" customWidth="1" outlineLevel="2"/>
    <col min="21" max="22" width="6.85546875" style="52" customWidth="1" outlineLevel="1"/>
    <col min="23" max="24" width="6" style="52" customWidth="1"/>
    <col min="25" max="25" width="6.140625" style="52" customWidth="1"/>
    <col min="26" max="26" width="5.42578125" style="7" customWidth="1"/>
    <col min="27" max="39" width="3.5703125" style="7" customWidth="1" outlineLevel="1"/>
    <col min="40" max="43" width="3.28515625" style="7" customWidth="1" outlineLevel="1"/>
    <col min="44" max="44" width="3.42578125" style="7" customWidth="1" outlineLevel="1"/>
    <col min="45" max="45" width="5.7109375" style="7" customWidth="1"/>
    <col min="46" max="46" width="8" style="4" customWidth="1"/>
    <col min="47" max="47" width="90.85546875" style="876" customWidth="1"/>
    <col min="48" max="48" width="7.28515625" style="343" customWidth="1"/>
    <col min="49" max="49" width="7.28515625" style="324" customWidth="1"/>
    <col min="50" max="50" width="2" style="5" customWidth="1"/>
    <col min="51" max="16384" width="9.140625" style="5"/>
  </cols>
  <sheetData>
    <row r="1" spans="1:50" s="23" customFormat="1" ht="13.5" thickBot="1">
      <c r="A1" s="187" t="s">
        <v>0</v>
      </c>
      <c r="B1" s="187" t="s">
        <v>0</v>
      </c>
      <c r="C1" s="56" t="s">
        <v>0</v>
      </c>
      <c r="D1" s="57" t="s">
        <v>0</v>
      </c>
      <c r="E1" s="56" t="s">
        <v>0</v>
      </c>
      <c r="F1" s="317" t="s">
        <v>0</v>
      </c>
      <c r="G1" s="56" t="s">
        <v>0</v>
      </c>
      <c r="H1" s="56" t="s">
        <v>0</v>
      </c>
      <c r="I1" s="328" t="s">
        <v>0</v>
      </c>
      <c r="J1" s="59" t="s">
        <v>1</v>
      </c>
      <c r="K1" s="60" t="s">
        <v>1</v>
      </c>
      <c r="L1" s="49" t="s">
        <v>0</v>
      </c>
      <c r="M1" s="712" t="s">
        <v>2</v>
      </c>
      <c r="N1" s="712"/>
      <c r="O1" s="712"/>
      <c r="P1" s="49" t="s">
        <v>0</v>
      </c>
      <c r="Q1" s="49" t="s">
        <v>0</v>
      </c>
      <c r="R1" s="49" t="s">
        <v>0</v>
      </c>
      <c r="S1" s="712"/>
      <c r="T1" s="650"/>
      <c r="U1" s="49" t="s">
        <v>0</v>
      </c>
      <c r="V1" s="49"/>
      <c r="W1" s="49" t="s">
        <v>0</v>
      </c>
      <c r="X1" s="49"/>
      <c r="Y1" s="49" t="s">
        <v>0</v>
      </c>
      <c r="Z1" s="63" t="s">
        <v>0</v>
      </c>
      <c r="AA1" s="56" t="s">
        <v>0</v>
      </c>
      <c r="AB1" s="56" t="s">
        <v>0</v>
      </c>
      <c r="AC1" s="56" t="s">
        <v>0</v>
      </c>
      <c r="AD1" s="56" t="s">
        <v>0</v>
      </c>
      <c r="AE1" s="56" t="s">
        <v>0</v>
      </c>
      <c r="AF1" s="56" t="s">
        <v>0</v>
      </c>
      <c r="AG1" s="56" t="s">
        <v>0</v>
      </c>
      <c r="AH1" s="56" t="s">
        <v>0</v>
      </c>
      <c r="AI1" s="56" t="s">
        <v>0</v>
      </c>
      <c r="AJ1" s="56" t="s">
        <v>0</v>
      </c>
      <c r="AK1" s="56" t="s">
        <v>0</v>
      </c>
      <c r="AL1" s="56" t="s">
        <v>0</v>
      </c>
      <c r="AM1" s="56" t="s">
        <v>0</v>
      </c>
      <c r="AN1" s="56" t="s">
        <v>0</v>
      </c>
      <c r="AO1" s="56" t="s">
        <v>0</v>
      </c>
      <c r="AP1" s="56" t="s">
        <v>0</v>
      </c>
      <c r="AQ1" s="56" t="s">
        <v>0</v>
      </c>
      <c r="AR1" s="56" t="s">
        <v>0</v>
      </c>
      <c r="AS1" s="56"/>
      <c r="AT1" s="64" t="s">
        <v>0</v>
      </c>
      <c r="AU1" s="339" t="s">
        <v>0</v>
      </c>
      <c r="AV1" s="339" t="s">
        <v>0</v>
      </c>
      <c r="AW1" s="349" t="s">
        <v>0</v>
      </c>
      <c r="AX1" s="145" t="s">
        <v>3</v>
      </c>
    </row>
    <row r="2" spans="1:50" s="17" customFormat="1" ht="14.25" thickTop="1" thickBot="1">
      <c r="A2" s="1124" t="s">
        <v>4</v>
      </c>
      <c r="B2" s="1125"/>
      <c r="C2" s="67"/>
      <c r="D2" s="68" t="s">
        <v>5</v>
      </c>
      <c r="E2" s="69">
        <f>SUBTOTAL(103,E4:E65035)</f>
        <v>80</v>
      </c>
      <c r="F2" s="318">
        <v>43164</v>
      </c>
      <c r="G2" s="71"/>
      <c r="H2" s="71"/>
      <c r="I2" s="329"/>
      <c r="J2" s="72"/>
      <c r="K2" s="72"/>
      <c r="L2" s="19" t="s">
        <v>6</v>
      </c>
      <c r="M2" s="300"/>
      <c r="N2" s="300"/>
      <c r="O2" s="300"/>
      <c r="P2" s="18"/>
      <c r="Q2" s="18"/>
      <c r="R2" s="18"/>
      <c r="S2" s="300"/>
      <c r="T2" s="300"/>
      <c r="U2" s="18"/>
      <c r="V2" s="18"/>
      <c r="W2" s="18"/>
      <c r="X2" s="18"/>
      <c r="Y2" s="18"/>
      <c r="Z2" s="76"/>
      <c r="AA2" s="77" t="s">
        <v>7</v>
      </c>
      <c r="AB2" s="78"/>
      <c r="AC2" s="78"/>
      <c r="AD2" s="78"/>
      <c r="AE2" s="78"/>
      <c r="AF2" s="79"/>
      <c r="AG2" s="80" t="s">
        <v>8</v>
      </c>
      <c r="AH2" s="81"/>
      <c r="AI2" s="81"/>
      <c r="AJ2" s="81"/>
      <c r="AK2" s="81"/>
      <c r="AL2" s="82"/>
      <c r="AM2" s="83" t="s">
        <v>9</v>
      </c>
      <c r="AN2" s="84"/>
      <c r="AO2" s="84"/>
      <c r="AP2" s="84"/>
      <c r="AQ2" s="84"/>
      <c r="AR2" s="85"/>
      <c r="AS2" s="740"/>
      <c r="AT2" s="86"/>
      <c r="AU2" s="305" t="s">
        <v>303</v>
      </c>
      <c r="AV2" s="340" t="s">
        <v>10</v>
      </c>
      <c r="AW2" s="340"/>
      <c r="AX2" s="145" t="s">
        <v>3</v>
      </c>
    </row>
    <row r="3" spans="1:50" ht="78" thickTop="1" thickBot="1">
      <c r="A3" s="180" t="s">
        <v>11</v>
      </c>
      <c r="B3" s="180" t="s">
        <v>12</v>
      </c>
      <c r="C3" s="89" t="s">
        <v>13</v>
      </c>
      <c r="D3" s="90" t="s">
        <v>14</v>
      </c>
      <c r="E3" s="91" t="s">
        <v>15</v>
      </c>
      <c r="F3" s="305" t="s">
        <v>16</v>
      </c>
      <c r="G3" s="93" t="s">
        <v>17</v>
      </c>
      <c r="H3" s="89" t="s">
        <v>18</v>
      </c>
      <c r="I3" s="1007" t="s">
        <v>19</v>
      </c>
      <c r="J3" s="94" t="s">
        <v>20</v>
      </c>
      <c r="K3" s="94" t="s">
        <v>21</v>
      </c>
      <c r="L3" s="20" t="s">
        <v>23</v>
      </c>
      <c r="M3" s="301" t="s">
        <v>354</v>
      </c>
      <c r="N3" s="301" t="s">
        <v>353</v>
      </c>
      <c r="O3" s="301" t="s">
        <v>22</v>
      </c>
      <c r="P3" s="20" t="s">
        <v>24</v>
      </c>
      <c r="Q3" s="21" t="s">
        <v>25</v>
      </c>
      <c r="R3" s="21" t="s">
        <v>26</v>
      </c>
      <c r="S3" s="301" t="s">
        <v>355</v>
      </c>
      <c r="T3" s="681" t="s">
        <v>348</v>
      </c>
      <c r="U3" s="21" t="s">
        <v>12</v>
      </c>
      <c r="V3" s="21" t="s">
        <v>357</v>
      </c>
      <c r="W3" s="908" t="s">
        <v>392</v>
      </c>
      <c r="X3" s="908" t="s">
        <v>389</v>
      </c>
      <c r="Y3" s="21" t="s">
        <v>390</v>
      </c>
      <c r="Z3" s="95" t="s">
        <v>28</v>
      </c>
      <c r="AA3" s="96">
        <v>42766</v>
      </c>
      <c r="AB3" s="97">
        <v>42794</v>
      </c>
      <c r="AC3" s="97">
        <v>42825</v>
      </c>
      <c r="AD3" s="97">
        <v>42855</v>
      </c>
      <c r="AE3" s="97">
        <v>42886</v>
      </c>
      <c r="AF3" s="97">
        <v>42916</v>
      </c>
      <c r="AG3" s="97">
        <v>42947</v>
      </c>
      <c r="AH3" s="97">
        <v>42978</v>
      </c>
      <c r="AI3" s="97">
        <v>43008</v>
      </c>
      <c r="AJ3" s="97">
        <v>43039</v>
      </c>
      <c r="AK3" s="97">
        <v>43069</v>
      </c>
      <c r="AL3" s="98">
        <v>43100</v>
      </c>
      <c r="AM3" s="99">
        <v>43131</v>
      </c>
      <c r="AN3" s="100">
        <v>43159</v>
      </c>
      <c r="AO3" s="100">
        <v>43190</v>
      </c>
      <c r="AP3" s="100">
        <v>43220</v>
      </c>
      <c r="AQ3" s="100">
        <v>43251</v>
      </c>
      <c r="AR3" s="100">
        <v>43281</v>
      </c>
      <c r="AS3" s="763" t="s">
        <v>396</v>
      </c>
      <c r="AT3" s="265" t="s">
        <v>29</v>
      </c>
      <c r="AU3" s="875" t="s">
        <v>302</v>
      </c>
      <c r="AV3" s="340" t="s">
        <v>30</v>
      </c>
      <c r="AW3" s="340" t="s">
        <v>320</v>
      </c>
      <c r="AX3" s="145" t="s">
        <v>3</v>
      </c>
    </row>
    <row r="4" spans="1:50" s="9" customFormat="1" ht="17.100000000000001" customHeight="1" outlineLevel="1" thickTop="1" thickBot="1">
      <c r="A4" s="181"/>
      <c r="B4" s="181"/>
      <c r="C4" s="101">
        <v>120</v>
      </c>
      <c r="D4" s="916" t="s">
        <v>31</v>
      </c>
      <c r="E4" s="6" t="s">
        <v>32</v>
      </c>
      <c r="F4" s="146" t="s">
        <v>33</v>
      </c>
      <c r="G4" s="146" t="s">
        <v>34</v>
      </c>
      <c r="H4" s="147" t="s">
        <v>35</v>
      </c>
      <c r="I4" s="330" t="s">
        <v>41</v>
      </c>
      <c r="J4" s="32"/>
      <c r="K4" s="32" t="s">
        <v>37</v>
      </c>
      <c r="L4" s="784">
        <v>42538</v>
      </c>
      <c r="M4" s="785">
        <f>RBJP!BA4</f>
        <v>0</v>
      </c>
      <c r="N4" s="785">
        <f>RBJP!BC4</f>
        <v>0</v>
      </c>
      <c r="O4" s="785">
        <f>RBJP!BD4</f>
        <v>0</v>
      </c>
      <c r="P4" s="786">
        <v>42614</v>
      </c>
      <c r="Q4" s="787">
        <v>42689</v>
      </c>
      <c r="R4" s="787">
        <v>42755</v>
      </c>
      <c r="S4" s="788">
        <f>RBJP!BE4</f>
        <v>0</v>
      </c>
      <c r="T4" s="789" t="str">
        <f>RBJP!BH4</f>
        <v>-</v>
      </c>
      <c r="U4" s="787">
        <v>42797</v>
      </c>
      <c r="V4" s="787"/>
      <c r="W4" s="787">
        <v>42808</v>
      </c>
      <c r="X4" s="787"/>
      <c r="Y4" s="787">
        <v>42809</v>
      </c>
      <c r="Z4" s="148">
        <v>3</v>
      </c>
      <c r="AA4" s="150" t="str">
        <f t="shared" ref="AA4:AA45" si="0">IF(AND($W4&lt;=AA$3,$W4&gt;AA$3-(AA$3-(AA$3-31))),"SOP",IF(AND($Y4&lt;=AA$3,($Y4+$Z4*31)&gt;=AA$3),"X",""))</f>
        <v/>
      </c>
      <c r="AB4" s="150" t="str">
        <f t="shared" ref="AB4:AR4" si="1">IF(AND($W4&lt;=AB$3,$W4&gt;AB$3-(AB$3-AA$3)),"SOP",IF(AND($Y4&lt;=AB$3,($Y4+$Z4*31)&gt;=AB$3),"X",""))</f>
        <v/>
      </c>
      <c r="AC4" s="615" t="str">
        <f t="shared" si="1"/>
        <v>SOP</v>
      </c>
      <c r="AD4" s="150" t="str">
        <f t="shared" si="1"/>
        <v>X</v>
      </c>
      <c r="AE4" s="150" t="str">
        <f t="shared" si="1"/>
        <v>X</v>
      </c>
      <c r="AF4" s="150" t="str">
        <f t="shared" si="1"/>
        <v/>
      </c>
      <c r="AG4" s="150" t="str">
        <f t="shared" si="1"/>
        <v/>
      </c>
      <c r="AH4" s="150" t="str">
        <f t="shared" si="1"/>
        <v/>
      </c>
      <c r="AI4" s="150" t="str">
        <f t="shared" si="1"/>
        <v/>
      </c>
      <c r="AJ4" s="150" t="str">
        <f t="shared" si="1"/>
        <v/>
      </c>
      <c r="AK4" s="150" t="str">
        <f t="shared" si="1"/>
        <v/>
      </c>
      <c r="AL4" s="151" t="str">
        <f t="shared" si="1"/>
        <v/>
      </c>
      <c r="AM4" s="149" t="str">
        <f t="shared" si="1"/>
        <v/>
      </c>
      <c r="AN4" s="150" t="str">
        <f t="shared" si="1"/>
        <v/>
      </c>
      <c r="AO4" s="150" t="str">
        <f t="shared" si="1"/>
        <v/>
      </c>
      <c r="AP4" s="150" t="str">
        <f t="shared" si="1"/>
        <v/>
      </c>
      <c r="AQ4" s="150" t="str">
        <f t="shared" si="1"/>
        <v/>
      </c>
      <c r="AR4" s="152" t="str">
        <f t="shared" si="1"/>
        <v/>
      </c>
      <c r="AS4" s="741"/>
      <c r="AT4" s="107" t="s">
        <v>38</v>
      </c>
      <c r="AU4" s="286" t="s">
        <v>296</v>
      </c>
      <c r="AV4" s="272"/>
      <c r="AW4" s="272"/>
      <c r="AX4" s="598" t="s">
        <v>3</v>
      </c>
    </row>
    <row r="5" spans="1:50" ht="17.100000000000001" customHeight="1" outlineLevel="1" thickBot="1">
      <c r="A5" s="182"/>
      <c r="B5" s="182"/>
      <c r="C5" s="38">
        <v>96</v>
      </c>
      <c r="D5" s="917" t="s">
        <v>31</v>
      </c>
      <c r="E5" s="8" t="s">
        <v>39</v>
      </c>
      <c r="F5" s="138" t="s">
        <v>40</v>
      </c>
      <c r="G5" s="27" t="s">
        <v>34</v>
      </c>
      <c r="H5" s="31" t="s">
        <v>35</v>
      </c>
      <c r="I5" s="334" t="s">
        <v>41</v>
      </c>
      <c r="J5" s="33" t="s">
        <v>42</v>
      </c>
      <c r="K5" s="33" t="s">
        <v>43</v>
      </c>
      <c r="L5" s="790"/>
      <c r="M5" s="791">
        <f>RBJP!BA5</f>
        <v>0</v>
      </c>
      <c r="N5" s="791">
        <f>RBJP!BC5</f>
        <v>0</v>
      </c>
      <c r="O5" s="791">
        <f>RBJP!BD5</f>
        <v>0</v>
      </c>
      <c r="P5" s="792"/>
      <c r="Q5" s="793"/>
      <c r="R5" s="793"/>
      <c r="S5" s="794">
        <f>RBJP!BE5</f>
        <v>0</v>
      </c>
      <c r="T5" s="795" t="str">
        <f>RBJP!BH5</f>
        <v>-</v>
      </c>
      <c r="U5" s="793">
        <v>42593</v>
      </c>
      <c r="V5" s="793"/>
      <c r="W5" s="793">
        <v>42675</v>
      </c>
      <c r="X5" s="793"/>
      <c r="Y5" s="793">
        <v>42681</v>
      </c>
      <c r="Z5" s="34">
        <v>6</v>
      </c>
      <c r="AA5" s="103" t="str">
        <f t="shared" si="0"/>
        <v>X</v>
      </c>
      <c r="AB5" s="104" t="str">
        <f t="shared" ref="AB5:AR5" si="2">IF(AND($W5&lt;=AB$3,$W5&gt;AB$3-(AB$3-AA$3)),"SOP",IF(AND($Y5&lt;=AB$3,($Y5+$Z5*31)&gt;=AB$3),"X",""))</f>
        <v>X</v>
      </c>
      <c r="AC5" s="104" t="str">
        <f t="shared" si="2"/>
        <v>X</v>
      </c>
      <c r="AD5" s="104" t="str">
        <f t="shared" si="2"/>
        <v>X</v>
      </c>
      <c r="AE5" s="104" t="str">
        <f t="shared" si="2"/>
        <v/>
      </c>
      <c r="AF5" s="104" t="str">
        <f t="shared" si="2"/>
        <v/>
      </c>
      <c r="AG5" s="104" t="str">
        <f t="shared" si="2"/>
        <v/>
      </c>
      <c r="AH5" s="104" t="str">
        <f t="shared" si="2"/>
        <v/>
      </c>
      <c r="AI5" s="104" t="str">
        <f t="shared" si="2"/>
        <v/>
      </c>
      <c r="AJ5" s="104" t="str">
        <f t="shared" si="2"/>
        <v/>
      </c>
      <c r="AK5" s="104" t="str">
        <f t="shared" si="2"/>
        <v/>
      </c>
      <c r="AL5" s="105" t="str">
        <f t="shared" si="2"/>
        <v/>
      </c>
      <c r="AM5" s="103" t="str">
        <f t="shared" si="2"/>
        <v/>
      </c>
      <c r="AN5" s="104" t="str">
        <f t="shared" si="2"/>
        <v/>
      </c>
      <c r="AO5" s="104" t="str">
        <f t="shared" si="2"/>
        <v/>
      </c>
      <c r="AP5" s="104" t="str">
        <f t="shared" si="2"/>
        <v/>
      </c>
      <c r="AQ5" s="104" t="str">
        <f t="shared" si="2"/>
        <v/>
      </c>
      <c r="AR5" s="109" t="str">
        <f t="shared" si="2"/>
        <v/>
      </c>
      <c r="AS5" s="742"/>
      <c r="AT5" s="45" t="s">
        <v>38</v>
      </c>
      <c r="AU5" s="635" t="s">
        <v>318</v>
      </c>
      <c r="AV5" s="341" t="s">
        <v>313</v>
      </c>
      <c r="AW5" s="271" t="s">
        <v>162</v>
      </c>
      <c r="AX5" s="597" t="s">
        <v>3</v>
      </c>
    </row>
    <row r="6" spans="1:50" ht="14.1" customHeight="1" thickBot="1">
      <c r="A6" s="182"/>
      <c r="B6" s="182"/>
      <c r="C6" s="38">
        <v>82</v>
      </c>
      <c r="D6" s="918"/>
      <c r="E6" s="8" t="s">
        <v>39</v>
      </c>
      <c r="F6" s="138" t="s">
        <v>44</v>
      </c>
      <c r="G6" s="27" t="s">
        <v>45</v>
      </c>
      <c r="H6" s="31" t="s">
        <v>46</v>
      </c>
      <c r="I6" s="1032" t="s">
        <v>47</v>
      </c>
      <c r="J6" s="33" t="s">
        <v>48</v>
      </c>
      <c r="K6" s="33" t="s">
        <v>49</v>
      </c>
      <c r="L6" s="790">
        <v>41884</v>
      </c>
      <c r="M6" s="791">
        <f>RBJP!BA6</f>
        <v>0</v>
      </c>
      <c r="N6" s="791">
        <f>RBJP!BC6</f>
        <v>42766</v>
      </c>
      <c r="O6" s="791">
        <f>RBJP!BD6</f>
        <v>42766</v>
      </c>
      <c r="P6" s="792">
        <v>41887</v>
      </c>
      <c r="Q6" s="793"/>
      <c r="R6" s="796">
        <v>42902</v>
      </c>
      <c r="S6" s="794">
        <f>RBJP!BE6</f>
        <v>42766</v>
      </c>
      <c r="T6" s="800" t="str">
        <f>RBJP!BH6</f>
        <v>done</v>
      </c>
      <c r="U6" s="798">
        <v>42999</v>
      </c>
      <c r="V6" s="799"/>
      <c r="W6" s="799">
        <v>43132</v>
      </c>
      <c r="X6" s="799"/>
      <c r="Y6" s="799">
        <v>43146</v>
      </c>
      <c r="Z6" s="34">
        <v>3</v>
      </c>
      <c r="AA6" s="103" t="str">
        <f t="shared" si="0"/>
        <v/>
      </c>
      <c r="AB6" s="104" t="str">
        <f t="shared" ref="AB6:AR6" si="3">IF(AND($W6&lt;=AB$3,$W6&gt;AB$3-(AB$3-AA$3)),"SOP",IF(AND($Y6&lt;=AB$3,($Y6+$Z6*31)&gt;=AB$3),"X",""))</f>
        <v/>
      </c>
      <c r="AC6" s="104" t="str">
        <f t="shared" si="3"/>
        <v/>
      </c>
      <c r="AD6" s="104" t="str">
        <f t="shared" si="3"/>
        <v/>
      </c>
      <c r="AE6" s="104" t="str">
        <f t="shared" si="3"/>
        <v/>
      </c>
      <c r="AF6" s="104" t="str">
        <f t="shared" si="3"/>
        <v/>
      </c>
      <c r="AG6" s="104" t="str">
        <f t="shared" si="3"/>
        <v/>
      </c>
      <c r="AH6" s="104" t="str">
        <f t="shared" si="3"/>
        <v/>
      </c>
      <c r="AI6" s="104" t="str">
        <f t="shared" si="3"/>
        <v/>
      </c>
      <c r="AJ6" s="268" t="str">
        <f t="shared" si="3"/>
        <v/>
      </c>
      <c r="AK6" s="104" t="str">
        <f t="shared" si="3"/>
        <v/>
      </c>
      <c r="AL6" s="105" t="str">
        <f t="shared" si="3"/>
        <v/>
      </c>
      <c r="AM6" s="267" t="str">
        <f t="shared" si="3"/>
        <v/>
      </c>
      <c r="AN6" s="104" t="str">
        <f t="shared" si="3"/>
        <v>SOP</v>
      </c>
      <c r="AO6" s="104" t="str">
        <f t="shared" si="3"/>
        <v>X</v>
      </c>
      <c r="AP6" s="104" t="str">
        <f t="shared" si="3"/>
        <v>X</v>
      </c>
      <c r="AQ6" s="104" t="str">
        <f t="shared" si="3"/>
        <v/>
      </c>
      <c r="AR6" s="109" t="str">
        <f t="shared" si="3"/>
        <v/>
      </c>
      <c r="AS6" s="963"/>
      <c r="AT6" s="776" t="s">
        <v>119</v>
      </c>
      <c r="AU6" s="1029" t="s">
        <v>395</v>
      </c>
      <c r="AV6" s="341"/>
      <c r="AW6" s="275"/>
      <c r="AX6" s="597" t="s">
        <v>3</v>
      </c>
    </row>
    <row r="7" spans="1:50" ht="14.1" customHeight="1" thickBot="1">
      <c r="A7" s="182"/>
      <c r="B7" s="182">
        <f>U7</f>
        <v>42908</v>
      </c>
      <c r="C7" s="38">
        <v>444</v>
      </c>
      <c r="D7" s="919" t="s">
        <v>31</v>
      </c>
      <c r="E7" s="8" t="s">
        <v>39</v>
      </c>
      <c r="F7" s="319" t="s">
        <v>50</v>
      </c>
      <c r="G7" s="27" t="s">
        <v>34</v>
      </c>
      <c r="H7" s="31" t="s">
        <v>51</v>
      </c>
      <c r="I7" s="331" t="s">
        <v>41</v>
      </c>
      <c r="J7" s="35"/>
      <c r="K7" s="36" t="s">
        <v>52</v>
      </c>
      <c r="L7" s="790">
        <v>42797</v>
      </c>
      <c r="M7" s="791">
        <f>RBJP!BA7</f>
        <v>42815</v>
      </c>
      <c r="N7" s="791">
        <f>RBJP!BC7</f>
        <v>42851</v>
      </c>
      <c r="O7" s="791">
        <f>RBJP!BD7</f>
        <v>42864</v>
      </c>
      <c r="P7" s="822">
        <v>42849</v>
      </c>
      <c r="Q7" s="793">
        <v>42864</v>
      </c>
      <c r="R7" s="793">
        <v>42887</v>
      </c>
      <c r="S7" s="794">
        <f>RBJP!BE7</f>
        <v>42887</v>
      </c>
      <c r="T7" s="800" t="str">
        <f>RBJP!BH7</f>
        <v>-</v>
      </c>
      <c r="U7" s="793">
        <v>42908</v>
      </c>
      <c r="V7" s="793"/>
      <c r="W7" s="796">
        <v>42919</v>
      </c>
      <c r="X7" s="796"/>
      <c r="Y7" s="793">
        <v>42947</v>
      </c>
      <c r="Z7" s="34"/>
      <c r="AA7" s="103" t="str">
        <f t="shared" si="0"/>
        <v/>
      </c>
      <c r="AB7" s="104" t="str">
        <f t="shared" ref="AB7:AR7" si="4">IF(AND($W7&lt;=AB$3,$W7&gt;AB$3-(AB$3-AA$3)),"SOP",IF(AND($Y7&lt;=AB$3,($Y7+$Z7*31)&gt;=AB$3),"X",""))</f>
        <v/>
      </c>
      <c r="AC7" s="104" t="str">
        <f t="shared" si="4"/>
        <v/>
      </c>
      <c r="AD7" s="104" t="str">
        <f t="shared" si="4"/>
        <v/>
      </c>
      <c r="AE7" s="104" t="str">
        <f t="shared" si="4"/>
        <v/>
      </c>
      <c r="AF7" s="104" t="str">
        <f t="shared" si="4"/>
        <v/>
      </c>
      <c r="AG7" s="104" t="str">
        <f t="shared" si="4"/>
        <v>SOP</v>
      </c>
      <c r="AH7" s="104" t="str">
        <f t="shared" si="4"/>
        <v/>
      </c>
      <c r="AI7" s="104" t="str">
        <f t="shared" si="4"/>
        <v/>
      </c>
      <c r="AJ7" s="104" t="str">
        <f t="shared" si="4"/>
        <v/>
      </c>
      <c r="AK7" s="104" t="str">
        <f t="shared" si="4"/>
        <v/>
      </c>
      <c r="AL7" s="105" t="str">
        <f t="shared" si="4"/>
        <v/>
      </c>
      <c r="AM7" s="103" t="str">
        <f t="shared" si="4"/>
        <v/>
      </c>
      <c r="AN7" s="104" t="str">
        <f t="shared" si="4"/>
        <v/>
      </c>
      <c r="AO7" s="104" t="str">
        <f t="shared" si="4"/>
        <v/>
      </c>
      <c r="AP7" s="104" t="str">
        <f t="shared" si="4"/>
        <v/>
      </c>
      <c r="AQ7" s="104" t="str">
        <f t="shared" si="4"/>
        <v/>
      </c>
      <c r="AR7" s="109" t="str">
        <f t="shared" si="4"/>
        <v/>
      </c>
      <c r="AS7" s="742"/>
      <c r="AT7" s="45" t="s">
        <v>53</v>
      </c>
      <c r="AU7" s="1022" t="s">
        <v>319</v>
      </c>
      <c r="AV7" s="341"/>
      <c r="AW7" s="271" t="s">
        <v>162</v>
      </c>
      <c r="AX7" s="597" t="s">
        <v>3</v>
      </c>
    </row>
    <row r="8" spans="1:50" s="9" customFormat="1" ht="14.1" customHeight="1" thickBot="1">
      <c r="A8" s="181"/>
      <c r="B8" s="181"/>
      <c r="C8" s="101">
        <v>92</v>
      </c>
      <c r="D8" s="920" t="s">
        <v>31</v>
      </c>
      <c r="E8" s="6" t="s">
        <v>39</v>
      </c>
      <c r="F8" s="289" t="s">
        <v>54</v>
      </c>
      <c r="G8" s="146" t="s">
        <v>34</v>
      </c>
      <c r="H8" s="147" t="s">
        <v>46</v>
      </c>
      <c r="I8" s="708" t="s">
        <v>47</v>
      </c>
      <c r="J8" s="144" t="s">
        <v>55</v>
      </c>
      <c r="K8" s="37" t="s">
        <v>56</v>
      </c>
      <c r="L8" s="846">
        <v>42751</v>
      </c>
      <c r="M8" s="801">
        <f>RBJP!BA8</f>
        <v>43081</v>
      </c>
      <c r="N8" s="801">
        <f>RBJP!BC8</f>
        <v>42823</v>
      </c>
      <c r="O8" s="801">
        <f>RBJP!BD8</f>
        <v>42844</v>
      </c>
      <c r="P8" s="786">
        <v>42739</v>
      </c>
      <c r="Q8" s="787">
        <v>42963</v>
      </c>
      <c r="R8" s="787">
        <v>43007</v>
      </c>
      <c r="S8" s="901">
        <f>RBJP!BE8</f>
        <v>43018</v>
      </c>
      <c r="T8" s="874">
        <f>RBJP!BH8</f>
        <v>43024</v>
      </c>
      <c r="U8" s="787">
        <v>43041</v>
      </c>
      <c r="V8" s="802">
        <v>43048</v>
      </c>
      <c r="W8" s="787">
        <v>43048</v>
      </c>
      <c r="X8" s="802">
        <v>43048</v>
      </c>
      <c r="Y8" s="802">
        <v>43040</v>
      </c>
      <c r="Z8" s="153">
        <v>3</v>
      </c>
      <c r="AA8" s="149" t="str">
        <f t="shared" si="0"/>
        <v/>
      </c>
      <c r="AB8" s="150" t="str">
        <f t="shared" ref="AB8:AR8" si="5">IF(AND($W8&lt;=AB$3,$W8&gt;AB$3-(AB$3-AA$3)),"SOP",IF(AND($Y8&lt;=AB$3,($Y8+$Z8*31)&gt;=AB$3),"X",""))</f>
        <v/>
      </c>
      <c r="AC8" s="150" t="str">
        <f t="shared" si="5"/>
        <v/>
      </c>
      <c r="AD8" s="150" t="str">
        <f t="shared" si="5"/>
        <v/>
      </c>
      <c r="AE8" s="150" t="str">
        <f t="shared" si="5"/>
        <v/>
      </c>
      <c r="AF8" s="150" t="str">
        <f t="shared" si="5"/>
        <v/>
      </c>
      <c r="AG8" s="150" t="str">
        <f t="shared" si="5"/>
        <v/>
      </c>
      <c r="AH8" s="150" t="str">
        <f t="shared" si="5"/>
        <v/>
      </c>
      <c r="AI8" s="150" t="str">
        <f t="shared" si="5"/>
        <v/>
      </c>
      <c r="AJ8" s="150" t="str">
        <f t="shared" si="5"/>
        <v/>
      </c>
      <c r="AK8" s="150" t="str">
        <f t="shared" si="5"/>
        <v>SOP</v>
      </c>
      <c r="AL8" s="263" t="str">
        <f t="shared" si="5"/>
        <v>X</v>
      </c>
      <c r="AM8" s="149" t="str">
        <f t="shared" si="5"/>
        <v>X</v>
      </c>
      <c r="AN8" s="310" t="str">
        <f t="shared" si="5"/>
        <v/>
      </c>
      <c r="AO8" s="310" t="str">
        <f t="shared" si="5"/>
        <v/>
      </c>
      <c r="AP8" s="150" t="str">
        <f t="shared" si="5"/>
        <v/>
      </c>
      <c r="AQ8" s="150" t="str">
        <f t="shared" si="5"/>
        <v/>
      </c>
      <c r="AR8" s="154" t="str">
        <f t="shared" si="5"/>
        <v/>
      </c>
      <c r="AS8" s="749"/>
      <c r="AT8" s="45" t="s">
        <v>38</v>
      </c>
      <c r="AU8" s="912" t="s">
        <v>391</v>
      </c>
      <c r="AV8" s="308"/>
      <c r="AW8" s="350"/>
      <c r="AX8" s="598" t="s">
        <v>3</v>
      </c>
    </row>
    <row r="9" spans="1:50" ht="13.5" outlineLevel="1" thickBot="1">
      <c r="A9" s="182"/>
      <c r="B9" s="182"/>
      <c r="C9" s="38">
        <v>369</v>
      </c>
      <c r="D9" s="921" t="s">
        <v>31</v>
      </c>
      <c r="E9" s="13" t="s">
        <v>57</v>
      </c>
      <c r="F9" s="28" t="s">
        <v>58</v>
      </c>
      <c r="G9" s="27" t="s">
        <v>45</v>
      </c>
      <c r="H9" s="31" t="s">
        <v>46</v>
      </c>
      <c r="I9" s="331" t="s">
        <v>41</v>
      </c>
      <c r="J9" s="36" t="s">
        <v>42</v>
      </c>
      <c r="K9" s="39" t="s">
        <v>59</v>
      </c>
      <c r="L9" s="837"/>
      <c r="M9" s="805">
        <f>RBJP!BA9</f>
        <v>0</v>
      </c>
      <c r="N9" s="805">
        <f>RBJP!BC9</f>
        <v>0</v>
      </c>
      <c r="O9" s="805">
        <f>RBJP!BD9</f>
        <v>0</v>
      </c>
      <c r="P9" s="843"/>
      <c r="Q9" s="806"/>
      <c r="R9" s="806"/>
      <c r="S9" s="807">
        <f>RBJP!BE9</f>
        <v>0</v>
      </c>
      <c r="T9" s="795" t="str">
        <f>RBJP!BH9</f>
        <v>-</v>
      </c>
      <c r="U9" s="806"/>
      <c r="V9" s="806"/>
      <c r="W9" s="793">
        <v>42863</v>
      </c>
      <c r="X9" s="793"/>
      <c r="Y9" s="793">
        <v>42887</v>
      </c>
      <c r="Z9" s="34">
        <v>0</v>
      </c>
      <c r="AA9" s="103" t="str">
        <f t="shared" si="0"/>
        <v/>
      </c>
      <c r="AB9" s="104" t="str">
        <f t="shared" ref="AB9:AR9" si="6">IF(AND($W9&lt;=AB$3,$W9&gt;AB$3-(AB$3-AA$3)),"SOP",IF(AND($Y9&lt;=AB$3,($Y9+$Z9*31)&gt;=AB$3),"X",""))</f>
        <v/>
      </c>
      <c r="AC9" s="104" t="str">
        <f t="shared" si="6"/>
        <v/>
      </c>
      <c r="AD9" s="104" t="str">
        <f t="shared" si="6"/>
        <v/>
      </c>
      <c r="AE9" s="104" t="str">
        <f t="shared" si="6"/>
        <v>SOP</v>
      </c>
      <c r="AF9" s="104" t="str">
        <f t="shared" si="6"/>
        <v/>
      </c>
      <c r="AG9" s="104" t="str">
        <f t="shared" si="6"/>
        <v/>
      </c>
      <c r="AH9" s="104" t="str">
        <f t="shared" si="6"/>
        <v/>
      </c>
      <c r="AI9" s="104" t="str">
        <f t="shared" si="6"/>
        <v/>
      </c>
      <c r="AJ9" s="104" t="str">
        <f t="shared" si="6"/>
        <v/>
      </c>
      <c r="AK9" s="104" t="str">
        <f t="shared" si="6"/>
        <v/>
      </c>
      <c r="AL9" s="105" t="str">
        <f t="shared" si="6"/>
        <v/>
      </c>
      <c r="AM9" s="103" t="str">
        <f t="shared" si="6"/>
        <v/>
      </c>
      <c r="AN9" s="104" t="str">
        <f t="shared" si="6"/>
        <v/>
      </c>
      <c r="AO9" s="104" t="str">
        <f t="shared" si="6"/>
        <v/>
      </c>
      <c r="AP9" s="104" t="str">
        <f t="shared" si="6"/>
        <v/>
      </c>
      <c r="AQ9" s="104" t="str">
        <f t="shared" si="6"/>
        <v/>
      </c>
      <c r="AR9" s="109" t="str">
        <f t="shared" si="6"/>
        <v/>
      </c>
      <c r="AS9" s="742"/>
      <c r="AT9" s="45">
        <v>0</v>
      </c>
      <c r="AU9" s="636" t="s">
        <v>311</v>
      </c>
      <c r="AV9" s="275"/>
      <c r="AW9" s="271"/>
      <c r="AX9" s="597" t="s">
        <v>3</v>
      </c>
    </row>
    <row r="10" spans="1:50" ht="13.5" thickBot="1">
      <c r="A10" s="182"/>
      <c r="B10" s="182"/>
      <c r="C10" s="38">
        <v>110</v>
      </c>
      <c r="D10" s="921" t="s">
        <v>31</v>
      </c>
      <c r="E10" s="8" t="s">
        <v>57</v>
      </c>
      <c r="F10" s="28" t="s">
        <v>60</v>
      </c>
      <c r="G10" s="27" t="s">
        <v>45</v>
      </c>
      <c r="H10" s="31" t="s">
        <v>61</v>
      </c>
      <c r="I10" s="331" t="s">
        <v>36</v>
      </c>
      <c r="J10" s="36" t="s">
        <v>42</v>
      </c>
      <c r="K10" s="36" t="s">
        <v>62</v>
      </c>
      <c r="L10" s="790">
        <v>42677</v>
      </c>
      <c r="M10" s="805">
        <f>RBJP!BA10</f>
        <v>0</v>
      </c>
      <c r="N10" s="805">
        <f>RBJP!BC10</f>
        <v>42824</v>
      </c>
      <c r="O10" s="805">
        <f>RBJP!BD10</f>
        <v>42830</v>
      </c>
      <c r="P10" s="792" t="s">
        <v>63</v>
      </c>
      <c r="Q10" s="793" t="s">
        <v>64</v>
      </c>
      <c r="R10" s="798">
        <v>42830</v>
      </c>
      <c r="S10" s="807">
        <f>RBJP!BE10</f>
        <v>42837</v>
      </c>
      <c r="T10" s="797" t="str">
        <f>RBJP!BH10</f>
        <v>-</v>
      </c>
      <c r="U10" s="798">
        <v>42851</v>
      </c>
      <c r="V10" s="798"/>
      <c r="W10" s="793">
        <v>42856</v>
      </c>
      <c r="X10" s="793"/>
      <c r="Y10" s="793">
        <v>42887</v>
      </c>
      <c r="Z10" s="34">
        <v>6</v>
      </c>
      <c r="AA10" s="103" t="str">
        <f t="shared" si="0"/>
        <v/>
      </c>
      <c r="AB10" s="104" t="str">
        <f t="shared" ref="AB10:AR10" si="7">IF(AND($W10&lt;=AB$3,$W10&gt;AB$3-(AB$3-AA$3)),"SOP",IF(AND($Y10&lt;=AB$3,($Y10+$Z10*31)&gt;=AB$3),"X",""))</f>
        <v/>
      </c>
      <c r="AC10" s="104" t="str">
        <f t="shared" si="7"/>
        <v/>
      </c>
      <c r="AD10" s="104" t="str">
        <f t="shared" si="7"/>
        <v/>
      </c>
      <c r="AE10" s="104" t="str">
        <f t="shared" si="7"/>
        <v>SOP</v>
      </c>
      <c r="AF10" s="104" t="str">
        <f t="shared" si="7"/>
        <v>X</v>
      </c>
      <c r="AG10" s="104" t="str">
        <f t="shared" si="7"/>
        <v>X</v>
      </c>
      <c r="AH10" s="104" t="str">
        <f t="shared" si="7"/>
        <v>X</v>
      </c>
      <c r="AI10" s="104" t="str">
        <f t="shared" si="7"/>
        <v>X</v>
      </c>
      <c r="AJ10" s="104" t="str">
        <f t="shared" si="7"/>
        <v>X</v>
      </c>
      <c r="AK10" s="104" t="str">
        <f t="shared" si="7"/>
        <v>X</v>
      </c>
      <c r="AL10" s="105" t="str">
        <f t="shared" si="7"/>
        <v/>
      </c>
      <c r="AM10" s="103" t="str">
        <f t="shared" si="7"/>
        <v/>
      </c>
      <c r="AN10" s="104" t="str">
        <f t="shared" si="7"/>
        <v/>
      </c>
      <c r="AO10" s="104" t="str">
        <f t="shared" si="7"/>
        <v/>
      </c>
      <c r="AP10" s="104" t="str">
        <f t="shared" si="7"/>
        <v/>
      </c>
      <c r="AQ10" s="104" t="str">
        <f t="shared" si="7"/>
        <v/>
      </c>
      <c r="AR10" s="109" t="str">
        <f t="shared" si="7"/>
        <v/>
      </c>
      <c r="AS10" s="742"/>
      <c r="AT10" s="45">
        <v>0</v>
      </c>
      <c r="AU10" s="637"/>
      <c r="AV10" s="275"/>
      <c r="AW10" s="271"/>
      <c r="AX10" s="597" t="s">
        <v>3</v>
      </c>
    </row>
    <row r="11" spans="1:50" ht="13.5" outlineLevel="1" thickBot="1">
      <c r="A11" s="182"/>
      <c r="B11" s="182"/>
      <c r="C11" s="108">
        <v>209</v>
      </c>
      <c r="D11" s="921" t="s">
        <v>31</v>
      </c>
      <c r="E11" s="113" t="s">
        <v>57</v>
      </c>
      <c r="F11" s="28" t="s">
        <v>65</v>
      </c>
      <c r="G11" s="27" t="s">
        <v>34</v>
      </c>
      <c r="H11" s="31" t="s">
        <v>66</v>
      </c>
      <c r="I11" s="331" t="s">
        <v>36</v>
      </c>
      <c r="J11" s="36" t="s">
        <v>42</v>
      </c>
      <c r="K11" s="39" t="s">
        <v>59</v>
      </c>
      <c r="L11" s="837"/>
      <c r="M11" s="805">
        <f>RBJP!BA11</f>
        <v>0</v>
      </c>
      <c r="N11" s="805">
        <f>RBJP!BC11</f>
        <v>0</v>
      </c>
      <c r="O11" s="805">
        <f>RBJP!BD11</f>
        <v>0</v>
      </c>
      <c r="P11" s="843"/>
      <c r="Q11" s="806"/>
      <c r="R11" s="806"/>
      <c r="S11" s="807">
        <f>RBJP!BE11</f>
        <v>0</v>
      </c>
      <c r="T11" s="797" t="str">
        <f>RBJP!BH11</f>
        <v>-</v>
      </c>
      <c r="U11" s="806"/>
      <c r="V11" s="806"/>
      <c r="W11" s="796">
        <v>42884</v>
      </c>
      <c r="X11" s="796"/>
      <c r="Y11" s="793">
        <v>42887</v>
      </c>
      <c r="Z11" s="34">
        <v>3</v>
      </c>
      <c r="AA11" s="103" t="str">
        <f t="shared" si="0"/>
        <v/>
      </c>
      <c r="AB11" s="104" t="str">
        <f t="shared" ref="AB11:AR11" si="8">IF(AND($W11&lt;=AB$3,$W11&gt;AB$3-(AB$3-AA$3)),"SOP",IF(AND($Y11&lt;=AB$3,($Y11+$Z11*31)&gt;=AB$3),"X",""))</f>
        <v/>
      </c>
      <c r="AC11" s="104" t="str">
        <f t="shared" si="8"/>
        <v/>
      </c>
      <c r="AD11" s="104" t="str">
        <f t="shared" si="8"/>
        <v/>
      </c>
      <c r="AE11" s="104" t="str">
        <f t="shared" si="8"/>
        <v>SOP</v>
      </c>
      <c r="AF11" s="104" t="str">
        <f t="shared" si="8"/>
        <v>X</v>
      </c>
      <c r="AG11" s="104" t="str">
        <f t="shared" si="8"/>
        <v>X</v>
      </c>
      <c r="AH11" s="104" t="str">
        <f t="shared" si="8"/>
        <v>X</v>
      </c>
      <c r="AI11" s="104" t="str">
        <f t="shared" si="8"/>
        <v/>
      </c>
      <c r="AJ11" s="104" t="str">
        <f t="shared" si="8"/>
        <v/>
      </c>
      <c r="AK11" s="104" t="str">
        <f t="shared" si="8"/>
        <v/>
      </c>
      <c r="AL11" s="105" t="str">
        <f t="shared" si="8"/>
        <v/>
      </c>
      <c r="AM11" s="103" t="str">
        <f t="shared" si="8"/>
        <v/>
      </c>
      <c r="AN11" s="104" t="str">
        <f t="shared" si="8"/>
        <v/>
      </c>
      <c r="AO11" s="104" t="str">
        <f t="shared" si="8"/>
        <v/>
      </c>
      <c r="AP11" s="104" t="str">
        <f t="shared" si="8"/>
        <v/>
      </c>
      <c r="AQ11" s="104" t="str">
        <f t="shared" si="8"/>
        <v/>
      </c>
      <c r="AR11" s="109" t="str">
        <f t="shared" si="8"/>
        <v/>
      </c>
      <c r="AS11" s="742"/>
      <c r="AT11" s="45" t="s">
        <v>67</v>
      </c>
      <c r="AU11" s="637"/>
      <c r="AV11" s="275"/>
      <c r="AW11" s="271"/>
      <c r="AX11" s="597" t="s">
        <v>3</v>
      </c>
    </row>
    <row r="12" spans="1:50" ht="14.1" customHeight="1" outlineLevel="1" thickBot="1">
      <c r="A12" s="182"/>
      <c r="B12" s="182"/>
      <c r="C12" s="38">
        <v>222</v>
      </c>
      <c r="D12" s="917" t="s">
        <v>31</v>
      </c>
      <c r="E12" s="113" t="s">
        <v>57</v>
      </c>
      <c r="F12" s="327" t="s">
        <v>378</v>
      </c>
      <c r="G12" s="27" t="s">
        <v>68</v>
      </c>
      <c r="H12" s="31" t="s">
        <v>108</v>
      </c>
      <c r="I12" s="1032" t="s">
        <v>47</v>
      </c>
      <c r="J12" s="41"/>
      <c r="K12" s="42" t="s">
        <v>70</v>
      </c>
      <c r="L12" s="808">
        <v>42895</v>
      </c>
      <c r="M12" s="791">
        <f>RBJP!BA12</f>
        <v>42956</v>
      </c>
      <c r="N12" s="791">
        <f>RBJP!BC12</f>
        <v>42976</v>
      </c>
      <c r="O12" s="791">
        <f>RBJP!BD12</f>
        <v>42983</v>
      </c>
      <c r="P12" s="822">
        <v>42909</v>
      </c>
      <c r="Q12" s="793">
        <v>42963</v>
      </c>
      <c r="R12" s="793" t="s">
        <v>382</v>
      </c>
      <c r="S12" s="883">
        <f>RBJP!BE12</f>
        <v>43026</v>
      </c>
      <c r="T12" s="800">
        <f>RBJP!BH12</f>
        <v>43007</v>
      </c>
      <c r="U12" s="793">
        <v>43117</v>
      </c>
      <c r="V12" s="809"/>
      <c r="W12" s="915">
        <v>42807</v>
      </c>
      <c r="X12" s="809"/>
      <c r="Y12" s="1023">
        <v>43174</v>
      </c>
      <c r="Z12" s="34">
        <v>3</v>
      </c>
      <c r="AA12" s="103" t="str">
        <f t="shared" si="0"/>
        <v/>
      </c>
      <c r="AB12" s="104" t="str">
        <f t="shared" ref="AB12:AR12" si="9">IF(AND($W12&lt;=AB$3,$W12&gt;AB$3-(AB$3-AA$3)),"SOP",IF(AND($Y12&lt;=AB$3,($Y12+$Z12*31)&gt;=AB$3),"X",""))</f>
        <v/>
      </c>
      <c r="AC12" s="104" t="str">
        <f t="shared" si="9"/>
        <v>SOP</v>
      </c>
      <c r="AD12" s="104" t="str">
        <f t="shared" si="9"/>
        <v/>
      </c>
      <c r="AE12" s="104" t="str">
        <f t="shared" si="9"/>
        <v/>
      </c>
      <c r="AF12" s="104" t="str">
        <f t="shared" si="9"/>
        <v/>
      </c>
      <c r="AG12" s="104" t="str">
        <f t="shared" si="9"/>
        <v/>
      </c>
      <c r="AH12" s="104" t="str">
        <f t="shared" si="9"/>
        <v/>
      </c>
      <c r="AI12" s="104" t="str">
        <f t="shared" si="9"/>
        <v/>
      </c>
      <c r="AJ12" s="104" t="str">
        <f t="shared" si="9"/>
        <v/>
      </c>
      <c r="AK12" s="104" t="str">
        <f t="shared" si="9"/>
        <v/>
      </c>
      <c r="AL12" s="105" t="str">
        <f t="shared" si="9"/>
        <v/>
      </c>
      <c r="AM12" s="103" t="str">
        <f t="shared" si="9"/>
        <v/>
      </c>
      <c r="AN12" s="104" t="str">
        <f t="shared" si="9"/>
        <v/>
      </c>
      <c r="AO12" s="104" t="str">
        <f t="shared" si="9"/>
        <v>X</v>
      </c>
      <c r="AP12" s="104" t="str">
        <f t="shared" si="9"/>
        <v>X</v>
      </c>
      <c r="AQ12" s="104" t="str">
        <f t="shared" si="9"/>
        <v>X</v>
      </c>
      <c r="AR12" s="109" t="str">
        <f t="shared" si="9"/>
        <v/>
      </c>
      <c r="AS12" s="963"/>
      <c r="AT12" s="356" t="s">
        <v>347</v>
      </c>
      <c r="AU12" s="912" t="s">
        <v>425</v>
      </c>
      <c r="AV12" s="341"/>
      <c r="AW12" s="271"/>
      <c r="AX12" s="597" t="s">
        <v>3</v>
      </c>
    </row>
    <row r="13" spans="1:50" s="9" customFormat="1" ht="14.1" customHeight="1" thickBot="1">
      <c r="A13" s="181">
        <f>P13</f>
        <v>42951</v>
      </c>
      <c r="B13" s="181"/>
      <c r="C13" s="101">
        <v>275</v>
      </c>
      <c r="D13" s="920" t="s">
        <v>31</v>
      </c>
      <c r="E13" s="6" t="s">
        <v>57</v>
      </c>
      <c r="F13" s="262" t="s">
        <v>345</v>
      </c>
      <c r="G13" s="146" t="s">
        <v>34</v>
      </c>
      <c r="H13" s="147" t="s">
        <v>51</v>
      </c>
      <c r="I13" s="709" t="s">
        <v>36</v>
      </c>
      <c r="J13" s="37" t="s">
        <v>42</v>
      </c>
      <c r="K13" s="37" t="s">
        <v>52</v>
      </c>
      <c r="L13" s="846">
        <v>42748</v>
      </c>
      <c r="M13" s="801">
        <f>RBJP!BA13</f>
        <v>42907</v>
      </c>
      <c r="N13" s="801">
        <f>RBJP!BC13</f>
        <v>42902</v>
      </c>
      <c r="O13" s="801">
        <f>RBJP!BD13</f>
        <v>42944</v>
      </c>
      <c r="P13" s="786">
        <v>42951</v>
      </c>
      <c r="Q13" s="810">
        <v>42906</v>
      </c>
      <c r="R13" s="787">
        <v>42968</v>
      </c>
      <c r="S13" s="788">
        <f>RBJP!BE13</f>
        <v>42979</v>
      </c>
      <c r="T13" s="874">
        <f>RBJP!BH13</f>
        <v>42969</v>
      </c>
      <c r="U13" s="787">
        <v>43004</v>
      </c>
      <c r="V13" s="802"/>
      <c r="W13" s="787">
        <v>43010</v>
      </c>
      <c r="X13" s="802"/>
      <c r="Y13" s="802">
        <v>43082</v>
      </c>
      <c r="Z13" s="153">
        <v>6</v>
      </c>
      <c r="AA13" s="149" t="str">
        <f t="shared" si="0"/>
        <v/>
      </c>
      <c r="AB13" s="150" t="str">
        <f t="shared" ref="AB13:AR13" si="10">IF(AND($W13&lt;=AB$3,$W13&gt;AB$3-(AB$3-AA$3)),"SOP",IF(AND($Y13&lt;=AB$3,($Y13+$Z13*31)&gt;=AB$3),"X",""))</f>
        <v/>
      </c>
      <c r="AC13" s="150" t="str">
        <f t="shared" si="10"/>
        <v/>
      </c>
      <c r="AD13" s="150" t="str">
        <f t="shared" si="10"/>
        <v/>
      </c>
      <c r="AE13" s="150" t="str">
        <f t="shared" si="10"/>
        <v/>
      </c>
      <c r="AF13" s="150" t="str">
        <f t="shared" si="10"/>
        <v/>
      </c>
      <c r="AG13" s="150" t="str">
        <f t="shared" si="10"/>
        <v/>
      </c>
      <c r="AH13" s="150" t="str">
        <f t="shared" si="10"/>
        <v/>
      </c>
      <c r="AI13" s="150" t="str">
        <f t="shared" si="10"/>
        <v/>
      </c>
      <c r="AJ13" s="150" t="str">
        <f t="shared" si="10"/>
        <v>SOP</v>
      </c>
      <c r="AK13" s="150" t="str">
        <f t="shared" si="10"/>
        <v/>
      </c>
      <c r="AL13" s="151" t="str">
        <f t="shared" si="10"/>
        <v>X</v>
      </c>
      <c r="AM13" s="149" t="str">
        <f t="shared" si="10"/>
        <v>X</v>
      </c>
      <c r="AN13" s="150" t="str">
        <f t="shared" si="10"/>
        <v>X</v>
      </c>
      <c r="AO13" s="150" t="str">
        <f t="shared" si="10"/>
        <v>X</v>
      </c>
      <c r="AP13" s="150" t="str">
        <f t="shared" si="10"/>
        <v>X</v>
      </c>
      <c r="AQ13" s="150" t="str">
        <f t="shared" si="10"/>
        <v>X</v>
      </c>
      <c r="AR13" s="154" t="str">
        <f t="shared" si="10"/>
        <v/>
      </c>
      <c r="AS13" s="745"/>
      <c r="AT13" s="356" t="s">
        <v>53</v>
      </c>
      <c r="AU13" s="912" t="s">
        <v>393</v>
      </c>
      <c r="AV13" s="308" t="s">
        <v>316</v>
      </c>
      <c r="AW13" s="350"/>
      <c r="AX13" s="598" t="s">
        <v>3</v>
      </c>
    </row>
    <row r="14" spans="1:50" s="292" customFormat="1" ht="13.5" thickBot="1">
      <c r="A14" s="293"/>
      <c r="B14" s="293">
        <f>U14</f>
        <v>43020</v>
      </c>
      <c r="C14" s="896">
        <v>146</v>
      </c>
      <c r="D14" s="922" t="s">
        <v>31</v>
      </c>
      <c r="E14" s="290" t="s">
        <v>71</v>
      </c>
      <c r="F14" s="289" t="s">
        <v>72</v>
      </c>
      <c r="G14" s="279" t="s">
        <v>34</v>
      </c>
      <c r="H14" s="147" t="s">
        <v>73</v>
      </c>
      <c r="I14" s="773" t="s">
        <v>1</v>
      </c>
      <c r="J14" s="294" t="s">
        <v>48</v>
      </c>
      <c r="K14" s="295" t="s">
        <v>74</v>
      </c>
      <c r="L14" s="935">
        <v>42803</v>
      </c>
      <c r="M14" s="801">
        <f>RBJP!BA14</f>
        <v>0</v>
      </c>
      <c r="N14" s="801">
        <f>RBJP!BC14</f>
        <v>42914</v>
      </c>
      <c r="O14" s="801">
        <f>RBJP!BD14</f>
        <v>42934</v>
      </c>
      <c r="P14" s="901">
        <v>42853</v>
      </c>
      <c r="Q14" s="936">
        <v>42955</v>
      </c>
      <c r="R14" s="937">
        <v>42977</v>
      </c>
      <c r="S14" s="788">
        <f>RBJP!BE14</f>
        <v>42986</v>
      </c>
      <c r="T14" s="789">
        <f>RBJP!BH14</f>
        <v>42983</v>
      </c>
      <c r="U14" s="810">
        <v>43020</v>
      </c>
      <c r="V14" s="811"/>
      <c r="W14" s="810">
        <v>43014</v>
      </c>
      <c r="X14" s="810"/>
      <c r="Y14" s="811">
        <v>43045</v>
      </c>
      <c r="Z14" s="153">
        <v>6</v>
      </c>
      <c r="AA14" s="296" t="str">
        <f t="shared" si="0"/>
        <v/>
      </c>
      <c r="AB14" s="297" t="str">
        <f t="shared" ref="AB14:AR14" si="11">IF(AND($W14&lt;=AB$3,$W14&gt;AB$3-(AB$3-AA$3)),"SOP",IF(AND($Y14&lt;=AB$3,($Y14+$Z14*31)&gt;=AB$3),"X",""))</f>
        <v/>
      </c>
      <c r="AC14" s="297" t="str">
        <f t="shared" si="11"/>
        <v/>
      </c>
      <c r="AD14" s="297" t="str">
        <f t="shared" si="11"/>
        <v/>
      </c>
      <c r="AE14" s="297" t="str">
        <f t="shared" si="11"/>
        <v/>
      </c>
      <c r="AF14" s="297" t="str">
        <f t="shared" si="11"/>
        <v/>
      </c>
      <c r="AG14" s="297" t="str">
        <f t="shared" si="11"/>
        <v/>
      </c>
      <c r="AH14" s="297" t="str">
        <f t="shared" si="11"/>
        <v/>
      </c>
      <c r="AI14" s="297" t="str">
        <f t="shared" si="11"/>
        <v/>
      </c>
      <c r="AJ14" s="297" t="str">
        <f t="shared" si="11"/>
        <v>SOP</v>
      </c>
      <c r="AK14" s="297" t="str">
        <f t="shared" si="11"/>
        <v>X</v>
      </c>
      <c r="AL14" s="298" t="str">
        <f t="shared" si="11"/>
        <v>X</v>
      </c>
      <c r="AM14" s="296" t="str">
        <f t="shared" si="11"/>
        <v>X</v>
      </c>
      <c r="AN14" s="297" t="str">
        <f t="shared" si="11"/>
        <v>X</v>
      </c>
      <c r="AO14" s="297" t="str">
        <f t="shared" si="11"/>
        <v>X</v>
      </c>
      <c r="AP14" s="297" t="str">
        <f t="shared" si="11"/>
        <v>X</v>
      </c>
      <c r="AQ14" s="297" t="str">
        <f t="shared" si="11"/>
        <v/>
      </c>
      <c r="AR14" s="299" t="str">
        <f t="shared" si="11"/>
        <v/>
      </c>
      <c r="AS14" s="885"/>
      <c r="AT14" s="356" t="s">
        <v>38</v>
      </c>
      <c r="AU14" s="637" t="s">
        <v>388</v>
      </c>
      <c r="AV14" s="308" t="s">
        <v>104</v>
      </c>
      <c r="AW14" s="350"/>
      <c r="AX14" s="291" t="s">
        <v>3</v>
      </c>
    </row>
    <row r="15" spans="1:50" s="10" customFormat="1" ht="14.1" customHeight="1" thickBot="1">
      <c r="A15" s="183"/>
      <c r="B15" s="183"/>
      <c r="C15" s="44">
        <v>122</v>
      </c>
      <c r="D15" s="1021"/>
      <c r="E15" s="11" t="s">
        <v>75</v>
      </c>
      <c r="F15" s="320" t="s">
        <v>76</v>
      </c>
      <c r="G15" s="157" t="s">
        <v>34</v>
      </c>
      <c r="H15" s="158" t="s">
        <v>35</v>
      </c>
      <c r="I15" s="1033" t="s">
        <v>77</v>
      </c>
      <c r="J15" s="40" t="s">
        <v>78</v>
      </c>
      <c r="K15" s="40" t="s">
        <v>79</v>
      </c>
      <c r="L15" s="938">
        <v>42677</v>
      </c>
      <c r="M15" s="812">
        <f>RBJP!BA15</f>
        <v>0</v>
      </c>
      <c r="N15" s="812">
        <f>RBJP!BC15</f>
        <v>42867</v>
      </c>
      <c r="O15" s="812">
        <f>RBJP!BD15</f>
        <v>42867</v>
      </c>
      <c r="P15" s="939">
        <v>42689</v>
      </c>
      <c r="Q15" s="913">
        <v>43041</v>
      </c>
      <c r="R15" s="813">
        <v>43220</v>
      </c>
      <c r="S15" s="814">
        <f>RBJP!BE15</f>
        <v>43237</v>
      </c>
      <c r="T15" s="789">
        <f>RBJP!BH15</f>
        <v>43205</v>
      </c>
      <c r="U15" s="813">
        <v>43251</v>
      </c>
      <c r="V15" s="813"/>
      <c r="W15" s="813">
        <v>43269</v>
      </c>
      <c r="X15" s="813">
        <v>43276</v>
      </c>
      <c r="Y15" s="813">
        <v>43280</v>
      </c>
      <c r="Z15" s="162">
        <v>3</v>
      </c>
      <c r="AA15" s="163" t="str">
        <f t="shared" si="0"/>
        <v/>
      </c>
      <c r="AB15" s="164" t="str">
        <f t="shared" ref="AB15:AR15" si="12">IF(AND($W15&lt;=AB$3,$W15&gt;AB$3-(AB$3-AA$3)),"SOP",IF(AND($Y15&lt;=AB$3,($Y15+$Z15*31)&gt;=AB$3),"X",""))</f>
        <v/>
      </c>
      <c r="AC15" s="164" t="str">
        <f t="shared" si="12"/>
        <v/>
      </c>
      <c r="AD15" s="164" t="str">
        <f t="shared" si="12"/>
        <v/>
      </c>
      <c r="AE15" s="164" t="str">
        <f t="shared" si="12"/>
        <v/>
      </c>
      <c r="AF15" s="164" t="str">
        <f t="shared" si="12"/>
        <v/>
      </c>
      <c r="AG15" s="164" t="str">
        <f t="shared" si="12"/>
        <v/>
      </c>
      <c r="AH15" s="164" t="str">
        <f t="shared" si="12"/>
        <v/>
      </c>
      <c r="AI15" s="164" t="str">
        <f t="shared" si="12"/>
        <v/>
      </c>
      <c r="AJ15" s="164" t="str">
        <f t="shared" si="12"/>
        <v/>
      </c>
      <c r="AK15" s="164" t="str">
        <f t="shared" si="12"/>
        <v/>
      </c>
      <c r="AL15" s="165" t="str">
        <f t="shared" si="12"/>
        <v/>
      </c>
      <c r="AM15" s="166" t="str">
        <f t="shared" si="12"/>
        <v/>
      </c>
      <c r="AN15" s="164" t="str">
        <f t="shared" si="12"/>
        <v/>
      </c>
      <c r="AO15" s="164" t="str">
        <f t="shared" si="12"/>
        <v/>
      </c>
      <c r="AP15" s="164" t="str">
        <f t="shared" si="12"/>
        <v/>
      </c>
      <c r="AQ15" s="164" t="str">
        <f t="shared" si="12"/>
        <v/>
      </c>
      <c r="AR15" s="164" t="str">
        <f t="shared" si="12"/>
        <v>SOP</v>
      </c>
      <c r="AS15" s="964"/>
      <c r="AT15" s="777" t="s">
        <v>38</v>
      </c>
      <c r="AU15" s="906" t="s">
        <v>433</v>
      </c>
      <c r="AV15" s="342"/>
      <c r="AW15" s="351"/>
      <c r="AX15" s="599" t="s">
        <v>3</v>
      </c>
    </row>
    <row r="16" spans="1:50" ht="13.5" outlineLevel="1" thickBot="1">
      <c r="A16" s="182"/>
      <c r="B16" s="182"/>
      <c r="C16" s="114">
        <v>94</v>
      </c>
      <c r="D16" s="917" t="s">
        <v>31</v>
      </c>
      <c r="E16" s="8" t="s">
        <v>80</v>
      </c>
      <c r="F16" s="28" t="s">
        <v>81</v>
      </c>
      <c r="G16" s="27" t="s">
        <v>34</v>
      </c>
      <c r="H16" s="31" t="s">
        <v>82</v>
      </c>
      <c r="I16" s="331" t="s">
        <v>77</v>
      </c>
      <c r="J16" s="33" t="s">
        <v>48</v>
      </c>
      <c r="K16" s="33" t="s">
        <v>83</v>
      </c>
      <c r="L16" s="940">
        <v>42355</v>
      </c>
      <c r="M16" s="815">
        <f>RBJP!BA16</f>
        <v>0</v>
      </c>
      <c r="N16" s="815">
        <f>RBJP!BC16</f>
        <v>0</v>
      </c>
      <c r="O16" s="815">
        <f>RBJP!BD16</f>
        <v>0</v>
      </c>
      <c r="P16" s="941">
        <v>42394</v>
      </c>
      <c r="Q16" s="793" t="s">
        <v>64</v>
      </c>
      <c r="R16" s="793">
        <v>42591</v>
      </c>
      <c r="S16" s="816">
        <f>RBJP!BE16</f>
        <v>0</v>
      </c>
      <c r="T16" s="795" t="str">
        <f>RBJP!BH16</f>
        <v>-</v>
      </c>
      <c r="U16" s="793">
        <v>42647</v>
      </c>
      <c r="V16" s="793"/>
      <c r="W16" s="793">
        <v>42648</v>
      </c>
      <c r="X16" s="793"/>
      <c r="Y16" s="793">
        <v>42705</v>
      </c>
      <c r="Z16" s="34">
        <v>3</v>
      </c>
      <c r="AA16" s="103" t="str">
        <f t="shared" si="0"/>
        <v>X</v>
      </c>
      <c r="AB16" s="104" t="str">
        <f t="shared" ref="AB16:AR16" si="13">IF(AND($W16&lt;=AB$3,$W16&gt;AB$3-(AB$3-AA$3)),"SOP",IF(AND($Y16&lt;=AB$3,($Y16+$Z16*31)&gt;=AB$3),"X",""))</f>
        <v>X</v>
      </c>
      <c r="AC16" s="104" t="str">
        <f t="shared" si="13"/>
        <v/>
      </c>
      <c r="AD16" s="104" t="str">
        <f t="shared" si="13"/>
        <v/>
      </c>
      <c r="AE16" s="104" t="str">
        <f t="shared" si="13"/>
        <v/>
      </c>
      <c r="AF16" s="104" t="str">
        <f t="shared" si="13"/>
        <v/>
      </c>
      <c r="AG16" s="104" t="str">
        <f t="shared" si="13"/>
        <v/>
      </c>
      <c r="AH16" s="104" t="str">
        <f t="shared" si="13"/>
        <v/>
      </c>
      <c r="AI16" s="104" t="str">
        <f t="shared" si="13"/>
        <v/>
      </c>
      <c r="AJ16" s="104" t="str">
        <f t="shared" si="13"/>
        <v/>
      </c>
      <c r="AK16" s="104" t="str">
        <f t="shared" si="13"/>
        <v/>
      </c>
      <c r="AL16" s="105" t="str">
        <f t="shared" si="13"/>
        <v/>
      </c>
      <c r="AM16" s="103" t="str">
        <f t="shared" si="13"/>
        <v/>
      </c>
      <c r="AN16" s="104" t="str">
        <f t="shared" si="13"/>
        <v/>
      </c>
      <c r="AO16" s="104" t="str">
        <f t="shared" si="13"/>
        <v/>
      </c>
      <c r="AP16" s="104" t="str">
        <f t="shared" si="13"/>
        <v/>
      </c>
      <c r="AQ16" s="104" t="str">
        <f t="shared" si="13"/>
        <v/>
      </c>
      <c r="AR16" s="109" t="str">
        <f t="shared" si="13"/>
        <v/>
      </c>
      <c r="AS16" s="742"/>
      <c r="AT16" s="45" t="e">
        <v>#N/A</v>
      </c>
      <c r="AU16" s="638"/>
      <c r="AV16" s="273"/>
      <c r="AW16" s="273"/>
      <c r="AX16" s="597" t="s">
        <v>3</v>
      </c>
    </row>
    <row r="17" spans="1:52" ht="13.5" outlineLevel="1" thickBot="1">
      <c r="A17" s="182"/>
      <c r="B17" s="182"/>
      <c r="C17" s="38">
        <v>97</v>
      </c>
      <c r="D17" s="917" t="s">
        <v>31</v>
      </c>
      <c r="E17" s="12" t="s">
        <v>80</v>
      </c>
      <c r="F17" s="28" t="s">
        <v>84</v>
      </c>
      <c r="G17" s="27" t="s">
        <v>34</v>
      </c>
      <c r="H17" s="31" t="s">
        <v>85</v>
      </c>
      <c r="I17" s="331" t="s">
        <v>77</v>
      </c>
      <c r="J17" s="33" t="s">
        <v>48</v>
      </c>
      <c r="K17" s="33" t="s">
        <v>86</v>
      </c>
      <c r="L17" s="940">
        <v>42401</v>
      </c>
      <c r="M17" s="815">
        <f>RBJP!BA17</f>
        <v>0</v>
      </c>
      <c r="N17" s="815">
        <f>RBJP!BC17</f>
        <v>0</v>
      </c>
      <c r="O17" s="815">
        <f>RBJP!BD17</f>
        <v>0</v>
      </c>
      <c r="P17" s="941">
        <v>42447</v>
      </c>
      <c r="Q17" s="793">
        <v>42658</v>
      </c>
      <c r="R17" s="793">
        <v>42683</v>
      </c>
      <c r="S17" s="816">
        <f>RBJP!BE17</f>
        <v>0</v>
      </c>
      <c r="T17" s="797" t="str">
        <f>RBJP!BH17</f>
        <v>-</v>
      </c>
      <c r="U17" s="817">
        <v>42752</v>
      </c>
      <c r="V17" s="817"/>
      <c r="W17" s="793">
        <v>42736</v>
      </c>
      <c r="X17" s="793"/>
      <c r="Y17" s="793">
        <v>42773</v>
      </c>
      <c r="Z17" s="34">
        <v>3</v>
      </c>
      <c r="AA17" s="103" t="str">
        <f t="shared" si="0"/>
        <v>SOP</v>
      </c>
      <c r="AB17" s="104" t="str">
        <f t="shared" ref="AB17:AR17" si="14">IF(AND($W17&lt;=AB$3,$W17&gt;AB$3-(AB$3-AA$3)),"SOP",IF(AND($Y17&lt;=AB$3,($Y17+$Z17*31)&gt;=AB$3),"X",""))</f>
        <v>X</v>
      </c>
      <c r="AC17" s="104" t="str">
        <f t="shared" si="14"/>
        <v>X</v>
      </c>
      <c r="AD17" s="104" t="str">
        <f t="shared" si="14"/>
        <v>X</v>
      </c>
      <c r="AE17" s="104" t="str">
        <f t="shared" si="14"/>
        <v/>
      </c>
      <c r="AF17" s="104" t="str">
        <f t="shared" si="14"/>
        <v/>
      </c>
      <c r="AG17" s="104" t="str">
        <f t="shared" si="14"/>
        <v/>
      </c>
      <c r="AH17" s="104" t="str">
        <f t="shared" si="14"/>
        <v/>
      </c>
      <c r="AI17" s="104" t="str">
        <f t="shared" si="14"/>
        <v/>
      </c>
      <c r="AJ17" s="104" t="str">
        <f t="shared" si="14"/>
        <v/>
      </c>
      <c r="AK17" s="104" t="str">
        <f t="shared" si="14"/>
        <v/>
      </c>
      <c r="AL17" s="105" t="str">
        <f t="shared" si="14"/>
        <v/>
      </c>
      <c r="AM17" s="103" t="str">
        <f t="shared" si="14"/>
        <v/>
      </c>
      <c r="AN17" s="104" t="str">
        <f t="shared" si="14"/>
        <v/>
      </c>
      <c r="AO17" s="104" t="str">
        <f t="shared" si="14"/>
        <v/>
      </c>
      <c r="AP17" s="104" t="str">
        <f t="shared" si="14"/>
        <v/>
      </c>
      <c r="AQ17" s="104" t="str">
        <f t="shared" si="14"/>
        <v/>
      </c>
      <c r="AR17" s="106" t="str">
        <f t="shared" si="14"/>
        <v/>
      </c>
      <c r="AS17" s="742"/>
      <c r="AT17" s="45" t="s">
        <v>87</v>
      </c>
      <c r="AU17" s="636" t="s">
        <v>88</v>
      </c>
      <c r="AV17" s="274"/>
      <c r="AW17" s="274"/>
      <c r="AX17" s="597" t="s">
        <v>3</v>
      </c>
    </row>
    <row r="18" spans="1:52" ht="13.5" thickBot="1">
      <c r="A18" s="182"/>
      <c r="B18" s="182"/>
      <c r="C18" s="108">
        <v>109</v>
      </c>
      <c r="D18" s="923" t="s">
        <v>31</v>
      </c>
      <c r="E18" s="8" t="s">
        <v>80</v>
      </c>
      <c r="F18" s="319" t="s">
        <v>89</v>
      </c>
      <c r="G18" s="27" t="s">
        <v>34</v>
      </c>
      <c r="H18" s="31" t="s">
        <v>90</v>
      </c>
      <c r="I18" s="331" t="s">
        <v>47</v>
      </c>
      <c r="J18" s="36" t="s">
        <v>48</v>
      </c>
      <c r="K18" s="36" t="s">
        <v>91</v>
      </c>
      <c r="L18" s="790">
        <v>42600</v>
      </c>
      <c r="M18" s="805">
        <f>RBJP!BA18</f>
        <v>42810</v>
      </c>
      <c r="N18" s="805">
        <f>RBJP!BC18</f>
        <v>42822</v>
      </c>
      <c r="O18" s="805">
        <f>RBJP!BD18</f>
        <v>42830</v>
      </c>
      <c r="P18" s="792">
        <v>42634</v>
      </c>
      <c r="Q18" s="793">
        <v>42719</v>
      </c>
      <c r="R18" s="793">
        <v>42762</v>
      </c>
      <c r="S18" s="807">
        <f>RBJP!BE18</f>
        <v>42906</v>
      </c>
      <c r="T18" s="797" t="str">
        <f>RBJP!BH18</f>
        <v>done</v>
      </c>
      <c r="U18" s="818">
        <v>42923</v>
      </c>
      <c r="V18" s="818"/>
      <c r="W18" s="809">
        <v>42931</v>
      </c>
      <c r="X18" s="809"/>
      <c r="Y18" s="809">
        <v>42948</v>
      </c>
      <c r="Z18" s="34">
        <v>3</v>
      </c>
      <c r="AA18" s="103" t="str">
        <f t="shared" si="0"/>
        <v/>
      </c>
      <c r="AB18" s="104" t="str">
        <f t="shared" ref="AB18:AR18" si="15">IF(AND($W18&lt;=AB$3,$W18&gt;AB$3-(AB$3-AA$3)),"SOP",IF(AND($Y18&lt;=AB$3,($Y18+$Z18*31)&gt;=AB$3),"X",""))</f>
        <v/>
      </c>
      <c r="AC18" s="104" t="str">
        <f t="shared" si="15"/>
        <v/>
      </c>
      <c r="AD18" s="104" t="str">
        <f t="shared" si="15"/>
        <v/>
      </c>
      <c r="AE18" s="104" t="str">
        <f t="shared" si="15"/>
        <v/>
      </c>
      <c r="AF18" s="104" t="str">
        <f t="shared" si="15"/>
        <v/>
      </c>
      <c r="AG18" s="104" t="str">
        <f t="shared" si="15"/>
        <v>SOP</v>
      </c>
      <c r="AH18" s="104" t="str">
        <f t="shared" si="15"/>
        <v>X</v>
      </c>
      <c r="AI18" s="104" t="str">
        <f t="shared" si="15"/>
        <v>X</v>
      </c>
      <c r="AJ18" s="104" t="str">
        <f t="shared" si="15"/>
        <v>X</v>
      </c>
      <c r="AK18" s="104" t="str">
        <f t="shared" si="15"/>
        <v/>
      </c>
      <c r="AL18" s="105" t="str">
        <f t="shared" si="15"/>
        <v/>
      </c>
      <c r="AM18" s="103" t="str">
        <f t="shared" si="15"/>
        <v/>
      </c>
      <c r="AN18" s="104" t="str">
        <f t="shared" si="15"/>
        <v/>
      </c>
      <c r="AO18" s="104" t="str">
        <f t="shared" si="15"/>
        <v/>
      </c>
      <c r="AP18" s="104" t="str">
        <f t="shared" si="15"/>
        <v/>
      </c>
      <c r="AQ18" s="104" t="str">
        <f t="shared" si="15"/>
        <v/>
      </c>
      <c r="AR18" s="109" t="str">
        <f t="shared" si="15"/>
        <v/>
      </c>
      <c r="AS18" s="742"/>
      <c r="AT18" s="45" t="s">
        <v>38</v>
      </c>
      <c r="AU18" s="637" t="s">
        <v>335</v>
      </c>
      <c r="AV18" s="341"/>
      <c r="AW18" s="275"/>
      <c r="AX18" s="597" t="s">
        <v>3</v>
      </c>
    </row>
    <row r="19" spans="1:52" ht="13.5" thickBot="1">
      <c r="A19" s="182"/>
      <c r="B19" s="182"/>
      <c r="C19" s="108">
        <v>293</v>
      </c>
      <c r="D19" s="923" t="s">
        <v>31</v>
      </c>
      <c r="E19" s="8" t="s">
        <v>80</v>
      </c>
      <c r="F19" s="138" t="s">
        <v>305</v>
      </c>
      <c r="G19" s="27" t="s">
        <v>34</v>
      </c>
      <c r="H19" s="31" t="s">
        <v>92</v>
      </c>
      <c r="I19" s="334" t="s">
        <v>77</v>
      </c>
      <c r="J19" s="36" t="s">
        <v>55</v>
      </c>
      <c r="K19" s="36" t="s">
        <v>93</v>
      </c>
      <c r="L19" s="790">
        <v>42632</v>
      </c>
      <c r="M19" s="791">
        <f>RBJP!BA19</f>
        <v>42731</v>
      </c>
      <c r="N19" s="791">
        <f>RBJP!BC19</f>
        <v>42789</v>
      </c>
      <c r="O19" s="791">
        <f>RBJP!BD19</f>
        <v>42829</v>
      </c>
      <c r="P19" s="792">
        <v>42711</v>
      </c>
      <c r="Q19" s="793" t="s">
        <v>94</v>
      </c>
      <c r="R19" s="793">
        <v>42790</v>
      </c>
      <c r="S19" s="794">
        <f>RBJP!BE19</f>
        <v>42846</v>
      </c>
      <c r="T19" s="797" t="str">
        <f>RBJP!BH19</f>
        <v>-</v>
      </c>
      <c r="U19" s="798">
        <v>42852</v>
      </c>
      <c r="V19" s="799"/>
      <c r="W19" s="796">
        <v>42975</v>
      </c>
      <c r="X19" s="796"/>
      <c r="Y19" s="796">
        <v>42978</v>
      </c>
      <c r="Z19" s="34">
        <v>0</v>
      </c>
      <c r="AA19" s="103" t="str">
        <f t="shared" si="0"/>
        <v/>
      </c>
      <c r="AB19" s="104" t="str">
        <f t="shared" ref="AB19:AR19" si="16">IF(AND($W19&lt;=AB$3,$W19&gt;AB$3-(AB$3-AA$3)),"SOP",IF(AND($Y19&lt;=AB$3,($Y19+$Z19*31)&gt;=AB$3),"X",""))</f>
        <v/>
      </c>
      <c r="AC19" s="104" t="str">
        <f t="shared" si="16"/>
        <v/>
      </c>
      <c r="AD19" s="104" t="str">
        <f t="shared" si="16"/>
        <v/>
      </c>
      <c r="AE19" s="104" t="str">
        <f t="shared" si="16"/>
        <v/>
      </c>
      <c r="AF19" s="104" t="str">
        <f t="shared" si="16"/>
        <v/>
      </c>
      <c r="AG19" s="115" t="str">
        <f t="shared" si="16"/>
        <v/>
      </c>
      <c r="AH19" s="104" t="str">
        <f t="shared" si="16"/>
        <v>SOP</v>
      </c>
      <c r="AI19" s="104" t="str">
        <f t="shared" si="16"/>
        <v/>
      </c>
      <c r="AJ19" s="104" t="str">
        <f t="shared" si="16"/>
        <v/>
      </c>
      <c r="AK19" s="104" t="str">
        <f t="shared" si="16"/>
        <v/>
      </c>
      <c r="AL19" s="105" t="str">
        <f t="shared" si="16"/>
        <v/>
      </c>
      <c r="AM19" s="103" t="str">
        <f t="shared" si="16"/>
        <v/>
      </c>
      <c r="AN19" s="104" t="str">
        <f t="shared" si="16"/>
        <v/>
      </c>
      <c r="AO19" s="104" t="str">
        <f t="shared" si="16"/>
        <v/>
      </c>
      <c r="AP19" s="104" t="str">
        <f t="shared" si="16"/>
        <v/>
      </c>
      <c r="AQ19" s="104" t="str">
        <f t="shared" si="16"/>
        <v/>
      </c>
      <c r="AR19" s="109" t="str">
        <f t="shared" si="16"/>
        <v/>
      </c>
      <c r="AS19" s="742"/>
      <c r="AT19" s="45" t="s">
        <v>87</v>
      </c>
      <c r="AU19" s="637" t="s">
        <v>367</v>
      </c>
      <c r="AV19" s="341" t="s">
        <v>314</v>
      </c>
      <c r="AW19" s="271"/>
      <c r="AX19" s="597" t="s">
        <v>3</v>
      </c>
      <c r="AZ19" s="280"/>
    </row>
    <row r="20" spans="1:52" ht="13.5" thickBot="1">
      <c r="A20" s="182"/>
      <c r="B20" s="182"/>
      <c r="C20" s="108">
        <v>212</v>
      </c>
      <c r="D20" s="917" t="s">
        <v>31</v>
      </c>
      <c r="E20" s="8" t="s">
        <v>80</v>
      </c>
      <c r="F20" s="29" t="s">
        <v>95</v>
      </c>
      <c r="G20" s="27" t="s">
        <v>34</v>
      </c>
      <c r="H20" s="31" t="s">
        <v>96</v>
      </c>
      <c r="I20" s="334" t="s">
        <v>77</v>
      </c>
      <c r="J20" s="36" t="s">
        <v>55</v>
      </c>
      <c r="K20" s="36" t="s">
        <v>97</v>
      </c>
      <c r="L20" s="942">
        <v>42691</v>
      </c>
      <c r="M20" s="805">
        <f>RBJP!BA20</f>
        <v>42780</v>
      </c>
      <c r="N20" s="805">
        <f>RBJP!BC20</f>
        <v>42795</v>
      </c>
      <c r="O20" s="805">
        <f>RBJP!BD20</f>
        <v>42802</v>
      </c>
      <c r="P20" s="943">
        <v>42772</v>
      </c>
      <c r="Q20" s="793">
        <v>42809</v>
      </c>
      <c r="R20" s="793">
        <v>42828</v>
      </c>
      <c r="S20" s="807">
        <f>RBJP!BE20</f>
        <v>42835</v>
      </c>
      <c r="T20" s="797" t="str">
        <f>RBJP!BH20</f>
        <v>-</v>
      </c>
      <c r="U20" s="793">
        <v>42838</v>
      </c>
      <c r="V20" s="793"/>
      <c r="W20" s="793">
        <v>42835</v>
      </c>
      <c r="X20" s="793"/>
      <c r="Y20" s="793">
        <v>42838</v>
      </c>
      <c r="Z20" s="34">
        <v>3</v>
      </c>
      <c r="AA20" s="103" t="str">
        <f t="shared" si="0"/>
        <v/>
      </c>
      <c r="AB20" s="104" t="str">
        <f t="shared" ref="AB20:AR20" si="17">IF(AND($W20&lt;=AB$3,$W20&gt;AB$3-(AB$3-AA$3)),"SOP",IF(AND($Y20&lt;=AB$3,($Y20+$Z20*31)&gt;=AB$3),"X",""))</f>
        <v/>
      </c>
      <c r="AC20" s="104" t="str">
        <f t="shared" si="17"/>
        <v/>
      </c>
      <c r="AD20" s="104" t="str">
        <f t="shared" si="17"/>
        <v>SOP</v>
      </c>
      <c r="AE20" s="104" t="str">
        <f t="shared" si="17"/>
        <v>X</v>
      </c>
      <c r="AF20" s="104" t="str">
        <f t="shared" si="17"/>
        <v>X</v>
      </c>
      <c r="AG20" s="104" t="str">
        <f t="shared" si="17"/>
        <v/>
      </c>
      <c r="AH20" s="104" t="str">
        <f t="shared" si="17"/>
        <v/>
      </c>
      <c r="AI20" s="104" t="str">
        <f t="shared" si="17"/>
        <v/>
      </c>
      <c r="AJ20" s="104" t="str">
        <f t="shared" si="17"/>
        <v/>
      </c>
      <c r="AK20" s="104" t="str">
        <f t="shared" si="17"/>
        <v/>
      </c>
      <c r="AL20" s="105" t="str">
        <f t="shared" si="17"/>
        <v/>
      </c>
      <c r="AM20" s="103" t="str">
        <f t="shared" si="17"/>
        <v/>
      </c>
      <c r="AN20" s="104" t="str">
        <f t="shared" si="17"/>
        <v/>
      </c>
      <c r="AO20" s="104" t="str">
        <f t="shared" si="17"/>
        <v/>
      </c>
      <c r="AP20" s="104" t="str">
        <f t="shared" si="17"/>
        <v/>
      </c>
      <c r="AQ20" s="104" t="str">
        <f t="shared" si="17"/>
        <v/>
      </c>
      <c r="AR20" s="109" t="str">
        <f t="shared" si="17"/>
        <v/>
      </c>
      <c r="AS20" s="742"/>
      <c r="AT20" s="45" t="s">
        <v>87</v>
      </c>
      <c r="AU20" s="637" t="s">
        <v>297</v>
      </c>
      <c r="AV20" s="275"/>
      <c r="AW20" s="275"/>
      <c r="AX20" s="597" t="s">
        <v>3</v>
      </c>
    </row>
    <row r="21" spans="1:52" ht="13.5" thickBot="1">
      <c r="A21" s="182"/>
      <c r="B21" s="182">
        <f>U21</f>
        <v>42957</v>
      </c>
      <c r="C21" s="38">
        <v>420</v>
      </c>
      <c r="D21" s="923" t="s">
        <v>31</v>
      </c>
      <c r="E21" s="13" t="s">
        <v>80</v>
      </c>
      <c r="F21" s="116" t="s">
        <v>306</v>
      </c>
      <c r="G21" s="27" t="s">
        <v>34</v>
      </c>
      <c r="H21" s="31" t="s">
        <v>85</v>
      </c>
      <c r="I21" s="334" t="s">
        <v>77</v>
      </c>
      <c r="J21" s="41" t="s">
        <v>52</v>
      </c>
      <c r="K21" s="41"/>
      <c r="L21" s="790">
        <v>42836</v>
      </c>
      <c r="M21" s="791">
        <f>RBJP!BA21</f>
        <v>42815</v>
      </c>
      <c r="N21" s="791">
        <f>RBJP!BC21</f>
        <v>42874</v>
      </c>
      <c r="O21" s="791">
        <f>RBJP!BD21</f>
        <v>42878</v>
      </c>
      <c r="P21" s="819">
        <v>42849</v>
      </c>
      <c r="Q21" s="796">
        <v>42877</v>
      </c>
      <c r="R21" s="796">
        <v>42949</v>
      </c>
      <c r="S21" s="794">
        <f>RBJP!BE21</f>
        <v>42950</v>
      </c>
      <c r="T21" s="797">
        <f>RBJP!BH21</f>
        <v>42949</v>
      </c>
      <c r="U21" s="798">
        <v>42957</v>
      </c>
      <c r="V21" s="799"/>
      <c r="W21" s="796">
        <v>42975</v>
      </c>
      <c r="X21" s="796"/>
      <c r="Y21" s="798">
        <v>42978</v>
      </c>
      <c r="Z21" s="34">
        <v>0</v>
      </c>
      <c r="AA21" s="103" t="str">
        <f t="shared" si="0"/>
        <v/>
      </c>
      <c r="AB21" s="104" t="str">
        <f t="shared" ref="AB21:AR21" si="18">IF(AND($W21&lt;=AB$3,$W21&gt;AB$3-(AB$3-AA$3)),"SOP",IF(AND($Y21&lt;=AB$3,($Y21+$Z21*31)&gt;=AB$3),"X",""))</f>
        <v/>
      </c>
      <c r="AC21" s="104" t="str">
        <f t="shared" si="18"/>
        <v/>
      </c>
      <c r="AD21" s="104" t="str">
        <f t="shared" si="18"/>
        <v/>
      </c>
      <c r="AE21" s="104" t="str">
        <f t="shared" si="18"/>
        <v/>
      </c>
      <c r="AF21" s="104" t="str">
        <f t="shared" si="18"/>
        <v/>
      </c>
      <c r="AG21" s="104" t="str">
        <f t="shared" si="18"/>
        <v/>
      </c>
      <c r="AH21" s="104" t="str">
        <f t="shared" si="18"/>
        <v>SOP</v>
      </c>
      <c r="AI21" s="104" t="str">
        <f t="shared" si="18"/>
        <v/>
      </c>
      <c r="AJ21" s="104" t="str">
        <f t="shared" si="18"/>
        <v/>
      </c>
      <c r="AK21" s="104" t="str">
        <f t="shared" si="18"/>
        <v/>
      </c>
      <c r="AL21" s="105" t="str">
        <f t="shared" si="18"/>
        <v/>
      </c>
      <c r="AM21" s="103" t="str">
        <f t="shared" si="18"/>
        <v/>
      </c>
      <c r="AN21" s="104" t="str">
        <f t="shared" si="18"/>
        <v/>
      </c>
      <c r="AO21" s="104" t="str">
        <f t="shared" si="18"/>
        <v/>
      </c>
      <c r="AP21" s="104" t="str">
        <f t="shared" si="18"/>
        <v/>
      </c>
      <c r="AQ21" s="104" t="str">
        <f t="shared" si="18"/>
        <v/>
      </c>
      <c r="AR21" s="109" t="str">
        <f t="shared" si="18"/>
        <v/>
      </c>
      <c r="AS21" s="742"/>
      <c r="AT21" s="45" t="s">
        <v>87</v>
      </c>
      <c r="AU21" s="636" t="s">
        <v>368</v>
      </c>
      <c r="AV21" s="341" t="s">
        <v>87</v>
      </c>
      <c r="AW21" s="271"/>
      <c r="AX21" s="597" t="s">
        <v>3</v>
      </c>
    </row>
    <row r="22" spans="1:52" ht="14.1" customHeight="1" thickBot="1">
      <c r="A22" s="182"/>
      <c r="B22" s="182">
        <f>U22</f>
        <v>42865</v>
      </c>
      <c r="C22" s="114">
        <v>116</v>
      </c>
      <c r="D22" s="923" t="s">
        <v>31</v>
      </c>
      <c r="E22" s="8" t="s">
        <v>80</v>
      </c>
      <c r="F22" s="319" t="s">
        <v>98</v>
      </c>
      <c r="G22" s="27" t="s">
        <v>34</v>
      </c>
      <c r="H22" s="31" t="s">
        <v>35</v>
      </c>
      <c r="I22" s="1076" t="s">
        <v>99</v>
      </c>
      <c r="J22" s="33" t="s">
        <v>78</v>
      </c>
      <c r="K22" s="33" t="s">
        <v>100</v>
      </c>
      <c r="L22" s="790">
        <v>42660</v>
      </c>
      <c r="M22" s="815">
        <f>RBJP!BA22</f>
        <v>0</v>
      </c>
      <c r="N22" s="791">
        <f>RBJP!BC22</f>
        <v>42845</v>
      </c>
      <c r="O22" s="791">
        <f>RBJP!BD22</f>
        <v>42845</v>
      </c>
      <c r="P22" s="792">
        <v>42689</v>
      </c>
      <c r="Q22" s="793" t="s">
        <v>101</v>
      </c>
      <c r="R22" s="793">
        <v>42846</v>
      </c>
      <c r="S22" s="794">
        <f>RBJP!BE22</f>
        <v>42849</v>
      </c>
      <c r="T22" s="797" t="str">
        <f>RBJP!BH22</f>
        <v>-</v>
      </c>
      <c r="U22" s="796">
        <v>42865</v>
      </c>
      <c r="V22" s="796"/>
      <c r="W22" s="798">
        <v>42931</v>
      </c>
      <c r="X22" s="820"/>
      <c r="Y22" s="793">
        <v>42940</v>
      </c>
      <c r="Z22" s="34">
        <v>3</v>
      </c>
      <c r="AA22" s="103" t="str">
        <f t="shared" si="0"/>
        <v/>
      </c>
      <c r="AB22" s="104" t="str">
        <f t="shared" ref="AB22:AR22" si="19">IF(AND($W22&lt;=AB$3,$W22&gt;AB$3-(AB$3-AA$3)),"SOP",IF(AND($Y22&lt;=AB$3,($Y22+$Z22*31)&gt;=AB$3),"X",""))</f>
        <v/>
      </c>
      <c r="AC22" s="104" t="str">
        <f t="shared" si="19"/>
        <v/>
      </c>
      <c r="AD22" s="104" t="str">
        <f t="shared" si="19"/>
        <v/>
      </c>
      <c r="AE22" s="104" t="str">
        <f t="shared" si="19"/>
        <v/>
      </c>
      <c r="AF22" s="104" t="str">
        <f t="shared" si="19"/>
        <v/>
      </c>
      <c r="AG22" s="104" t="str">
        <f t="shared" si="19"/>
        <v>SOP</v>
      </c>
      <c r="AH22" s="104" t="str">
        <f t="shared" si="19"/>
        <v>X</v>
      </c>
      <c r="AI22" s="104" t="str">
        <f t="shared" si="19"/>
        <v>X</v>
      </c>
      <c r="AJ22" s="104" t="str">
        <f t="shared" si="19"/>
        <v/>
      </c>
      <c r="AK22" s="104" t="str">
        <f t="shared" si="19"/>
        <v/>
      </c>
      <c r="AL22" s="105" t="str">
        <f t="shared" si="19"/>
        <v/>
      </c>
      <c r="AM22" s="103" t="str">
        <f t="shared" si="19"/>
        <v/>
      </c>
      <c r="AN22" s="104" t="str">
        <f t="shared" si="19"/>
        <v/>
      </c>
      <c r="AO22" s="104" t="str">
        <f t="shared" si="19"/>
        <v/>
      </c>
      <c r="AP22" s="104" t="str">
        <f t="shared" si="19"/>
        <v/>
      </c>
      <c r="AQ22" s="104" t="str">
        <f t="shared" si="19"/>
        <v/>
      </c>
      <c r="AR22" s="109" t="str">
        <f t="shared" si="19"/>
        <v/>
      </c>
      <c r="AS22" s="965"/>
      <c r="AT22" s="45" t="s">
        <v>38</v>
      </c>
      <c r="AU22" s="892" t="s">
        <v>486</v>
      </c>
      <c r="AV22" s="341"/>
      <c r="AW22" s="271"/>
      <c r="AX22" s="597" t="s">
        <v>3</v>
      </c>
    </row>
    <row r="23" spans="1:52" ht="13.5" thickBot="1">
      <c r="A23" s="182"/>
      <c r="B23" s="182"/>
      <c r="C23" s="38">
        <v>145</v>
      </c>
      <c r="D23" s="922" t="s">
        <v>31</v>
      </c>
      <c r="E23" s="8" t="s">
        <v>80</v>
      </c>
      <c r="F23" s="319" t="s">
        <v>102</v>
      </c>
      <c r="G23" s="27" t="s">
        <v>34</v>
      </c>
      <c r="H23" s="31" t="s">
        <v>96</v>
      </c>
      <c r="I23" s="334" t="s">
        <v>99</v>
      </c>
      <c r="J23" s="36" t="s">
        <v>55</v>
      </c>
      <c r="K23" s="36" t="s">
        <v>103</v>
      </c>
      <c r="L23" s="790">
        <v>42691</v>
      </c>
      <c r="M23" s="798">
        <f>RBJP!BA23</f>
        <v>0</v>
      </c>
      <c r="N23" s="798">
        <f>RBJP!BC23</f>
        <v>42870</v>
      </c>
      <c r="O23" s="798">
        <f>RBJP!BD23</f>
        <v>42894</v>
      </c>
      <c r="P23" s="792">
        <v>42804</v>
      </c>
      <c r="Q23" s="798">
        <v>42884</v>
      </c>
      <c r="R23" s="798">
        <v>42936</v>
      </c>
      <c r="S23" s="821">
        <f>RBJP!BE23</f>
        <v>42941</v>
      </c>
      <c r="T23" s="797">
        <f>RBJP!BH23</f>
        <v>42937</v>
      </c>
      <c r="U23" s="798">
        <v>42942</v>
      </c>
      <c r="V23" s="798"/>
      <c r="W23" s="798">
        <v>42943</v>
      </c>
      <c r="X23" s="798"/>
      <c r="Y23" s="798">
        <v>42943</v>
      </c>
      <c r="Z23" s="34">
        <v>3</v>
      </c>
      <c r="AA23" s="103" t="str">
        <f t="shared" si="0"/>
        <v/>
      </c>
      <c r="AB23" s="104" t="str">
        <f t="shared" ref="AB23:AR23" si="20">IF(AND($W23&lt;=AB$3,$W23&gt;AB$3-(AB$3-AA$3)),"SOP",IF(AND($Y23&lt;=AB$3,($Y23+$Z23*31)&gt;=AB$3),"X",""))</f>
        <v/>
      </c>
      <c r="AC23" s="104" t="str">
        <f t="shared" si="20"/>
        <v/>
      </c>
      <c r="AD23" s="104" t="str">
        <f t="shared" si="20"/>
        <v/>
      </c>
      <c r="AE23" s="104" t="str">
        <f t="shared" si="20"/>
        <v/>
      </c>
      <c r="AF23" s="104" t="str">
        <f t="shared" si="20"/>
        <v/>
      </c>
      <c r="AG23" s="104" t="str">
        <f t="shared" si="20"/>
        <v>SOP</v>
      </c>
      <c r="AH23" s="104" t="str">
        <f t="shared" si="20"/>
        <v>X</v>
      </c>
      <c r="AI23" s="117" t="str">
        <f t="shared" si="20"/>
        <v>X</v>
      </c>
      <c r="AJ23" s="104" t="str">
        <f t="shared" si="20"/>
        <v/>
      </c>
      <c r="AK23" s="117" t="str">
        <f t="shared" si="20"/>
        <v/>
      </c>
      <c r="AL23" s="118" t="str">
        <f t="shared" si="20"/>
        <v/>
      </c>
      <c r="AM23" s="103" t="str">
        <f t="shared" si="20"/>
        <v/>
      </c>
      <c r="AN23" s="117" t="str">
        <f t="shared" si="20"/>
        <v/>
      </c>
      <c r="AO23" s="104" t="str">
        <f t="shared" si="20"/>
        <v/>
      </c>
      <c r="AP23" s="104" t="str">
        <f t="shared" si="20"/>
        <v/>
      </c>
      <c r="AQ23" s="104" t="str">
        <f t="shared" si="20"/>
        <v/>
      </c>
      <c r="AR23" s="119" t="str">
        <f t="shared" si="20"/>
        <v/>
      </c>
      <c r="AS23" s="743"/>
      <c r="AT23" s="45" t="s">
        <v>87</v>
      </c>
      <c r="AU23" s="637" t="s">
        <v>343</v>
      </c>
      <c r="AV23" s="341"/>
      <c r="AW23" s="271"/>
      <c r="AX23" s="597" t="s">
        <v>3</v>
      </c>
    </row>
    <row r="24" spans="1:52" ht="13.5" thickBot="1">
      <c r="A24" s="182"/>
      <c r="B24" s="182">
        <f>U24</f>
        <v>42930</v>
      </c>
      <c r="C24" s="108">
        <v>211</v>
      </c>
      <c r="D24" s="923" t="s">
        <v>31</v>
      </c>
      <c r="E24" s="8" t="s">
        <v>80</v>
      </c>
      <c r="F24" s="138" t="s">
        <v>105</v>
      </c>
      <c r="G24" s="27" t="s">
        <v>34</v>
      </c>
      <c r="H24" s="31" t="s">
        <v>85</v>
      </c>
      <c r="I24" s="334" t="s">
        <v>77</v>
      </c>
      <c r="J24" s="33" t="s">
        <v>52</v>
      </c>
      <c r="K24" s="33"/>
      <c r="L24" s="790">
        <v>42755</v>
      </c>
      <c r="M24" s="798">
        <f>RBJP!BA24</f>
        <v>42866</v>
      </c>
      <c r="N24" s="798">
        <f>RBJP!BC24</f>
        <v>42880</v>
      </c>
      <c r="O24" s="798">
        <f>RBJP!BD24</f>
        <v>42892</v>
      </c>
      <c r="P24" s="792">
        <v>42871</v>
      </c>
      <c r="Q24" s="798">
        <v>42867</v>
      </c>
      <c r="R24" s="798">
        <v>42913</v>
      </c>
      <c r="S24" s="821">
        <f>RBJP!BE24</f>
        <v>42928</v>
      </c>
      <c r="T24" s="797">
        <f>RBJP!BH24</f>
        <v>42915</v>
      </c>
      <c r="U24" s="796">
        <v>42930</v>
      </c>
      <c r="V24" s="796"/>
      <c r="W24" s="793">
        <v>42930</v>
      </c>
      <c r="X24" s="793"/>
      <c r="Y24" s="793">
        <v>42930</v>
      </c>
      <c r="Z24" s="34">
        <v>0</v>
      </c>
      <c r="AA24" s="103" t="str">
        <f t="shared" si="0"/>
        <v/>
      </c>
      <c r="AB24" s="104" t="str">
        <f t="shared" ref="AB24:AR24" si="21">IF(AND($W24&lt;=AB$3,$W24&gt;AB$3-(AB$3-AA$3)),"SOP",IF(AND($Y24&lt;=AB$3,($Y24+$Z24*31)&gt;=AB$3),"X",""))</f>
        <v/>
      </c>
      <c r="AC24" s="104" t="str">
        <f t="shared" si="21"/>
        <v/>
      </c>
      <c r="AD24" s="104" t="str">
        <f t="shared" si="21"/>
        <v/>
      </c>
      <c r="AE24" s="104" t="str">
        <f t="shared" si="21"/>
        <v/>
      </c>
      <c r="AF24" s="104" t="str">
        <f t="shared" si="21"/>
        <v/>
      </c>
      <c r="AG24" s="104" t="str">
        <f t="shared" si="21"/>
        <v>SOP</v>
      </c>
      <c r="AH24" s="104" t="str">
        <f t="shared" si="21"/>
        <v/>
      </c>
      <c r="AI24" s="104" t="str">
        <f t="shared" si="21"/>
        <v/>
      </c>
      <c r="AJ24" s="104" t="str">
        <f t="shared" si="21"/>
        <v/>
      </c>
      <c r="AK24" s="104" t="str">
        <f t="shared" si="21"/>
        <v/>
      </c>
      <c r="AL24" s="105" t="str">
        <f t="shared" si="21"/>
        <v/>
      </c>
      <c r="AM24" s="103" t="str">
        <f t="shared" si="21"/>
        <v/>
      </c>
      <c r="AN24" s="104" t="str">
        <f t="shared" si="21"/>
        <v/>
      </c>
      <c r="AO24" s="104" t="str">
        <f t="shared" si="21"/>
        <v/>
      </c>
      <c r="AP24" s="104" t="str">
        <f t="shared" si="21"/>
        <v/>
      </c>
      <c r="AQ24" s="104" t="str">
        <f t="shared" si="21"/>
        <v/>
      </c>
      <c r="AR24" s="109" t="str">
        <f t="shared" si="21"/>
        <v/>
      </c>
      <c r="AS24" s="742"/>
      <c r="AT24" s="356" t="s">
        <v>87</v>
      </c>
      <c r="AU24" s="637" t="s">
        <v>333</v>
      </c>
      <c r="AV24" s="341"/>
      <c r="AW24" s="271">
        <v>1</v>
      </c>
      <c r="AX24" s="597" t="s">
        <v>3</v>
      </c>
    </row>
    <row r="25" spans="1:52" ht="13.5" thickBot="1">
      <c r="A25" s="278"/>
      <c r="B25" s="182">
        <v>42947</v>
      </c>
      <c r="C25" s="38">
        <v>341</v>
      </c>
      <c r="D25" s="924" t="s">
        <v>31</v>
      </c>
      <c r="E25" s="22" t="s">
        <v>80</v>
      </c>
      <c r="F25" s="319" t="s">
        <v>106</v>
      </c>
      <c r="G25" s="27" t="s">
        <v>34</v>
      </c>
      <c r="H25" s="31" t="s">
        <v>96</v>
      </c>
      <c r="I25" s="334" t="s">
        <v>99</v>
      </c>
      <c r="J25" s="36" t="s">
        <v>55</v>
      </c>
      <c r="K25" s="36" t="s">
        <v>103</v>
      </c>
      <c r="L25" s="790">
        <v>42691</v>
      </c>
      <c r="M25" s="798">
        <f>RBJP!BA25</f>
        <v>0</v>
      </c>
      <c r="N25" s="798">
        <f>RBJP!BC25</f>
        <v>42873</v>
      </c>
      <c r="O25" s="798">
        <f>RBJP!BD25</f>
        <v>42902</v>
      </c>
      <c r="P25" s="792">
        <v>42908</v>
      </c>
      <c r="Q25" s="798">
        <v>42892</v>
      </c>
      <c r="R25" s="798">
        <v>42940</v>
      </c>
      <c r="S25" s="821">
        <f>RBJP!BE25</f>
        <v>42937</v>
      </c>
      <c r="T25" s="797">
        <f>RBJP!BH25</f>
        <v>42935</v>
      </c>
      <c r="U25" s="798">
        <v>42942</v>
      </c>
      <c r="V25" s="798"/>
      <c r="W25" s="798">
        <v>42943</v>
      </c>
      <c r="X25" s="798"/>
      <c r="Y25" s="798">
        <v>42943</v>
      </c>
      <c r="Z25" s="34">
        <v>3</v>
      </c>
      <c r="AA25" s="103" t="str">
        <f t="shared" si="0"/>
        <v/>
      </c>
      <c r="AB25" s="104" t="str">
        <f t="shared" ref="AB25:AR25" si="22">IF(AND($W25&lt;=AB$3,$W25&gt;AB$3-(AB$3-AA$3)),"SOP",IF(AND($Y25&lt;=AB$3,($Y25+$Z25*31)&gt;=AB$3),"X",""))</f>
        <v/>
      </c>
      <c r="AC25" s="104" t="str">
        <f t="shared" si="22"/>
        <v/>
      </c>
      <c r="AD25" s="104" t="str">
        <f t="shared" si="22"/>
        <v/>
      </c>
      <c r="AE25" s="104" t="str">
        <f t="shared" si="22"/>
        <v/>
      </c>
      <c r="AF25" s="104" t="str">
        <f t="shared" si="22"/>
        <v/>
      </c>
      <c r="AG25" s="104" t="str">
        <f t="shared" si="22"/>
        <v>SOP</v>
      </c>
      <c r="AH25" s="104" t="str">
        <f t="shared" si="22"/>
        <v>X</v>
      </c>
      <c r="AI25" s="104" t="str">
        <f t="shared" si="22"/>
        <v>X</v>
      </c>
      <c r="AJ25" s="104" t="str">
        <f t="shared" si="22"/>
        <v/>
      </c>
      <c r="AK25" s="104" t="str">
        <f t="shared" si="22"/>
        <v/>
      </c>
      <c r="AL25" s="105" t="str">
        <f t="shared" si="22"/>
        <v/>
      </c>
      <c r="AM25" s="103" t="str">
        <f t="shared" si="22"/>
        <v/>
      </c>
      <c r="AN25" s="104" t="str">
        <f t="shared" si="22"/>
        <v/>
      </c>
      <c r="AO25" s="104" t="str">
        <f t="shared" si="22"/>
        <v/>
      </c>
      <c r="AP25" s="104" t="str">
        <f t="shared" si="22"/>
        <v/>
      </c>
      <c r="AQ25" s="104" t="str">
        <f t="shared" si="22"/>
        <v/>
      </c>
      <c r="AR25" s="106" t="str">
        <f t="shared" si="22"/>
        <v/>
      </c>
      <c r="AS25" s="742"/>
      <c r="AT25" s="45" t="s">
        <v>87</v>
      </c>
      <c r="AU25" s="636" t="s">
        <v>344</v>
      </c>
      <c r="AV25" s="341"/>
      <c r="AW25" s="271"/>
      <c r="AX25" s="597" t="s">
        <v>3</v>
      </c>
    </row>
    <row r="26" spans="1:52" ht="13.5" thickBot="1">
      <c r="A26" s="182"/>
      <c r="B26" s="182"/>
      <c r="C26" s="38">
        <v>263</v>
      </c>
      <c r="D26" s="917" t="s">
        <v>31</v>
      </c>
      <c r="E26" s="13" t="s">
        <v>80</v>
      </c>
      <c r="F26" s="138" t="s">
        <v>107</v>
      </c>
      <c r="G26" s="27" t="s">
        <v>68</v>
      </c>
      <c r="H26" s="31" t="s">
        <v>108</v>
      </c>
      <c r="I26" s="707" t="s">
        <v>47</v>
      </c>
      <c r="J26" s="36" t="s">
        <v>55</v>
      </c>
      <c r="K26" s="36" t="s">
        <v>103</v>
      </c>
      <c r="L26" s="790">
        <v>42657</v>
      </c>
      <c r="M26" s="791">
        <f>RBJP!BA26</f>
        <v>0</v>
      </c>
      <c r="N26" s="791">
        <f>RBJP!BC26</f>
        <v>42872</v>
      </c>
      <c r="O26" s="791">
        <f>RBJP!BD26</f>
        <v>42891</v>
      </c>
      <c r="P26" s="822">
        <v>42909</v>
      </c>
      <c r="Q26" s="796">
        <v>42879</v>
      </c>
      <c r="R26" s="798">
        <v>42940</v>
      </c>
      <c r="S26" s="794">
        <f>RBJP!BE26</f>
        <v>42942</v>
      </c>
      <c r="T26" s="800" t="str">
        <f>RBJP!BH26</f>
        <v>done</v>
      </c>
      <c r="U26" s="798">
        <v>42999</v>
      </c>
      <c r="V26" s="799"/>
      <c r="W26" s="915">
        <v>43132</v>
      </c>
      <c r="X26" s="809"/>
      <c r="Y26" s="915">
        <v>43133</v>
      </c>
      <c r="Z26" s="34">
        <v>3</v>
      </c>
      <c r="AA26" s="103" t="str">
        <f t="shared" si="0"/>
        <v/>
      </c>
      <c r="AB26" s="104" t="str">
        <f t="shared" ref="AB26:AR26" si="23">IF(AND($W26&lt;=AB$3,$W26&gt;AB$3-(AB$3-AA$3)),"SOP",IF(AND($Y26&lt;=AB$3,($Y26+$Z26*31)&gt;=AB$3),"X",""))</f>
        <v/>
      </c>
      <c r="AC26" s="104" t="str">
        <f t="shared" si="23"/>
        <v/>
      </c>
      <c r="AD26" s="104" t="str">
        <f t="shared" si="23"/>
        <v/>
      </c>
      <c r="AE26" s="104" t="str">
        <f t="shared" si="23"/>
        <v/>
      </c>
      <c r="AF26" s="104" t="str">
        <f t="shared" si="23"/>
        <v/>
      </c>
      <c r="AG26" s="104" t="str">
        <f t="shared" si="23"/>
        <v/>
      </c>
      <c r="AH26" s="104" t="str">
        <f t="shared" si="23"/>
        <v/>
      </c>
      <c r="AI26" s="104" t="str">
        <f t="shared" si="23"/>
        <v/>
      </c>
      <c r="AJ26" s="104" t="str">
        <f t="shared" si="23"/>
        <v/>
      </c>
      <c r="AK26" s="104" t="str">
        <f t="shared" si="23"/>
        <v/>
      </c>
      <c r="AL26" s="105" t="str">
        <f t="shared" si="23"/>
        <v/>
      </c>
      <c r="AM26" s="103" t="str">
        <f t="shared" si="23"/>
        <v/>
      </c>
      <c r="AN26" s="104" t="str">
        <f t="shared" si="23"/>
        <v>SOP</v>
      </c>
      <c r="AO26" s="104" t="str">
        <f t="shared" si="23"/>
        <v>X</v>
      </c>
      <c r="AP26" s="104" t="str">
        <f t="shared" si="23"/>
        <v>X</v>
      </c>
      <c r="AQ26" s="104" t="str">
        <f t="shared" si="23"/>
        <v/>
      </c>
      <c r="AR26" s="109" t="str">
        <f t="shared" si="23"/>
        <v/>
      </c>
      <c r="AS26" s="746"/>
      <c r="AT26" s="776" t="s">
        <v>322</v>
      </c>
      <c r="AU26" s="637" t="s">
        <v>379</v>
      </c>
      <c r="AV26" s="341" t="s">
        <v>381</v>
      </c>
      <c r="AW26" s="271"/>
      <c r="AX26" s="597" t="s">
        <v>3</v>
      </c>
    </row>
    <row r="27" spans="1:52" s="876" customFormat="1" ht="14.1" customHeight="1" thickBot="1">
      <c r="A27" s="182"/>
      <c r="B27" s="182"/>
      <c r="C27" s="962">
        <v>342</v>
      </c>
      <c r="D27" s="923" t="s">
        <v>31</v>
      </c>
      <c r="E27" s="890" t="s">
        <v>80</v>
      </c>
      <c r="F27" s="319" t="s">
        <v>109</v>
      </c>
      <c r="G27" s="319" t="s">
        <v>34</v>
      </c>
      <c r="H27" s="31" t="s">
        <v>96</v>
      </c>
      <c r="I27" s="891" t="s">
        <v>99</v>
      </c>
      <c r="J27" s="36" t="s">
        <v>55</v>
      </c>
      <c r="K27" s="36" t="s">
        <v>103</v>
      </c>
      <c r="L27" s="914">
        <v>42691</v>
      </c>
      <c r="M27" s="791">
        <f>RBJP!BA27</f>
        <v>0</v>
      </c>
      <c r="N27" s="791">
        <f>RBJP!BC27</f>
        <v>42873</v>
      </c>
      <c r="O27" s="791">
        <f>RBJP!BD27</f>
        <v>42902</v>
      </c>
      <c r="P27" s="821">
        <v>42908</v>
      </c>
      <c r="Q27" s="798">
        <v>42978</v>
      </c>
      <c r="R27" s="796" t="s">
        <v>376</v>
      </c>
      <c r="S27" s="794">
        <f>RBJP!BE27</f>
        <v>43011</v>
      </c>
      <c r="T27" s="800">
        <f>RBJP!BH27</f>
        <v>43011</v>
      </c>
      <c r="U27" s="793">
        <v>43019</v>
      </c>
      <c r="V27" s="809"/>
      <c r="W27" s="796">
        <v>43028</v>
      </c>
      <c r="X27" s="826"/>
      <c r="Y27" s="809"/>
      <c r="Z27" s="34">
        <v>3</v>
      </c>
      <c r="AA27" s="103" t="str">
        <f t="shared" si="0"/>
        <v/>
      </c>
      <c r="AB27" s="104" t="str">
        <f t="shared" ref="AB27:AR27" si="24">IF(AND($W27&lt;=AB$3,$W27&gt;AB$3-(AB$3-AA$3)),"SOP",IF(AND($Y27&lt;=AB$3,($Y27+$Z27*31)&gt;=AB$3),"X",""))</f>
        <v/>
      </c>
      <c r="AC27" s="104" t="str">
        <f t="shared" si="24"/>
        <v/>
      </c>
      <c r="AD27" s="104" t="str">
        <f t="shared" si="24"/>
        <v/>
      </c>
      <c r="AE27" s="104" t="str">
        <f t="shared" si="24"/>
        <v/>
      </c>
      <c r="AF27" s="104" t="str">
        <f t="shared" si="24"/>
        <v/>
      </c>
      <c r="AG27" s="104" t="str">
        <f t="shared" si="24"/>
        <v/>
      </c>
      <c r="AH27" s="104" t="str">
        <f t="shared" si="24"/>
        <v/>
      </c>
      <c r="AI27" s="104" t="str">
        <f t="shared" si="24"/>
        <v/>
      </c>
      <c r="AJ27" s="104" t="str">
        <f t="shared" si="24"/>
        <v>SOP</v>
      </c>
      <c r="AK27" s="104" t="str">
        <f t="shared" si="24"/>
        <v/>
      </c>
      <c r="AL27" s="105" t="str">
        <f t="shared" si="24"/>
        <v/>
      </c>
      <c r="AM27" s="103" t="str">
        <f t="shared" si="24"/>
        <v/>
      </c>
      <c r="AN27" s="104" t="str">
        <f t="shared" si="24"/>
        <v/>
      </c>
      <c r="AO27" s="104" t="str">
        <f t="shared" si="24"/>
        <v/>
      </c>
      <c r="AP27" s="104" t="str">
        <f t="shared" si="24"/>
        <v/>
      </c>
      <c r="AQ27" s="104" t="str">
        <f t="shared" si="24"/>
        <v/>
      </c>
      <c r="AR27" s="109" t="str">
        <f t="shared" si="24"/>
        <v/>
      </c>
      <c r="AS27" s="971"/>
      <c r="AT27" s="777" t="s">
        <v>87</v>
      </c>
      <c r="AU27" s="906" t="s">
        <v>459</v>
      </c>
      <c r="AV27" s="341" t="s">
        <v>458</v>
      </c>
      <c r="AW27" s="275"/>
      <c r="AX27" s="889" t="s">
        <v>3</v>
      </c>
    </row>
    <row r="28" spans="1:52" s="26" customFormat="1" ht="13.5" outlineLevel="1" thickBot="1">
      <c r="A28" s="184"/>
      <c r="B28" s="184"/>
      <c r="C28" s="142">
        <v>296</v>
      </c>
      <c r="D28" s="925"/>
      <c r="E28" s="143" t="s">
        <v>80</v>
      </c>
      <c r="F28" s="46" t="s">
        <v>110</v>
      </c>
      <c r="G28" s="47" t="s">
        <v>68</v>
      </c>
      <c r="H28" s="31" t="s">
        <v>111</v>
      </c>
      <c r="I28" s="1038" t="s">
        <v>112</v>
      </c>
      <c r="J28" s="47"/>
      <c r="K28" s="47"/>
      <c r="L28" s="910">
        <v>42811</v>
      </c>
      <c r="M28" s="824">
        <f>RBJP!BA28</f>
        <v>0</v>
      </c>
      <c r="N28" s="824">
        <f>RBJP!BC28</f>
        <v>0</v>
      </c>
      <c r="O28" s="824">
        <f>RBJP!BD28</f>
        <v>0</v>
      </c>
      <c r="P28" s="944">
        <v>42851</v>
      </c>
      <c r="Q28" s="824">
        <v>42972</v>
      </c>
      <c r="R28" s="824">
        <v>43000</v>
      </c>
      <c r="S28" s="825">
        <f>RBJP!BE28</f>
        <v>0</v>
      </c>
      <c r="T28" s="797" t="str">
        <f>RBJP!BH28</f>
        <v>-</v>
      </c>
      <c r="U28" s="824">
        <v>43028</v>
      </c>
      <c r="V28" s="824"/>
      <c r="W28" s="824">
        <v>43045</v>
      </c>
      <c r="X28" s="824"/>
      <c r="Y28" s="824">
        <v>43070</v>
      </c>
      <c r="Z28" s="48">
        <v>3</v>
      </c>
      <c r="AA28" s="120" t="str">
        <f t="shared" si="0"/>
        <v/>
      </c>
      <c r="AB28" s="121" t="str">
        <f t="shared" ref="AB28:AR28" si="25">IF(AND($W28&lt;=AB$3,$W28&gt;AB$3-(AB$3-AA$3)),"SOP",IF(AND($Y28&lt;=AB$3,($Y28+$Z28*31)&gt;=AB$3),"X",""))</f>
        <v/>
      </c>
      <c r="AC28" s="121" t="str">
        <f t="shared" si="25"/>
        <v/>
      </c>
      <c r="AD28" s="121" t="str">
        <f t="shared" si="25"/>
        <v/>
      </c>
      <c r="AE28" s="121" t="str">
        <f t="shared" si="25"/>
        <v/>
      </c>
      <c r="AF28" s="121" t="str">
        <f t="shared" si="25"/>
        <v/>
      </c>
      <c r="AG28" s="121" t="str">
        <f t="shared" si="25"/>
        <v/>
      </c>
      <c r="AH28" s="121" t="str">
        <f t="shared" si="25"/>
        <v/>
      </c>
      <c r="AI28" s="121" t="str">
        <f t="shared" si="25"/>
        <v/>
      </c>
      <c r="AJ28" s="121" t="str">
        <f t="shared" si="25"/>
        <v/>
      </c>
      <c r="AK28" s="121" t="str">
        <f t="shared" si="25"/>
        <v>SOP</v>
      </c>
      <c r="AL28" s="122" t="str">
        <f t="shared" si="25"/>
        <v>X</v>
      </c>
      <c r="AM28" s="120" t="str">
        <f t="shared" si="25"/>
        <v>X</v>
      </c>
      <c r="AN28" s="121" t="str">
        <f t="shared" si="25"/>
        <v>X</v>
      </c>
      <c r="AO28" s="121" t="str">
        <f t="shared" si="25"/>
        <v/>
      </c>
      <c r="AP28" s="121" t="str">
        <f t="shared" si="25"/>
        <v/>
      </c>
      <c r="AQ28" s="121" t="str">
        <f t="shared" si="25"/>
        <v/>
      </c>
      <c r="AR28" s="123" t="str">
        <f t="shared" si="25"/>
        <v/>
      </c>
      <c r="AS28" s="744"/>
      <c r="AT28" s="639" t="e">
        <v>#N/A</v>
      </c>
      <c r="AU28" s="640" t="s">
        <v>113</v>
      </c>
      <c r="AV28" s="276">
        <v>0</v>
      </c>
      <c r="AW28" s="276"/>
      <c r="AX28" s="597" t="s">
        <v>3</v>
      </c>
    </row>
    <row r="29" spans="1:52" ht="14.1" customHeight="1" thickBot="1">
      <c r="A29" s="182"/>
      <c r="B29" s="182"/>
      <c r="C29" s="110">
        <v>132</v>
      </c>
      <c r="D29" s="917"/>
      <c r="E29" s="8" t="s">
        <v>80</v>
      </c>
      <c r="F29" s="28" t="s">
        <v>114</v>
      </c>
      <c r="G29" s="27" t="s">
        <v>34</v>
      </c>
      <c r="H29" s="31" t="s">
        <v>115</v>
      </c>
      <c r="I29" s="1032" t="s">
        <v>77</v>
      </c>
      <c r="J29" s="36" t="s">
        <v>55</v>
      </c>
      <c r="K29" s="36"/>
      <c r="L29" s="790">
        <v>43003</v>
      </c>
      <c r="M29" s="791">
        <f>RBJP!BA29</f>
        <v>43046</v>
      </c>
      <c r="N29" s="791">
        <f>RBJP!BC29</f>
        <v>43069</v>
      </c>
      <c r="O29" s="791">
        <f>RBJP!BD29</f>
        <v>43076</v>
      </c>
      <c r="P29" s="792">
        <v>43077</v>
      </c>
      <c r="Q29" s="799">
        <v>43178</v>
      </c>
      <c r="R29" s="809">
        <v>43206</v>
      </c>
      <c r="S29" s="797"/>
      <c r="T29" s="797">
        <f>RBJP!BH29</f>
        <v>43175</v>
      </c>
      <c r="U29" s="826">
        <v>43241</v>
      </c>
      <c r="V29" s="827">
        <v>43206</v>
      </c>
      <c r="W29" s="809">
        <v>43252</v>
      </c>
      <c r="X29" s="809"/>
      <c r="Y29" s="809">
        <v>43269</v>
      </c>
      <c r="Z29" s="34">
        <v>3</v>
      </c>
      <c r="AA29" s="103" t="str">
        <f t="shared" si="0"/>
        <v/>
      </c>
      <c r="AB29" s="104" t="str">
        <f t="shared" ref="AB29:AR29" si="26">IF(AND($W29&lt;=AB$3,$W29&gt;AB$3-(AB$3-AA$3)),"SOP",IF(AND($Y29&lt;=AB$3,($Y29+$Z29*31)&gt;=AB$3),"X",""))</f>
        <v/>
      </c>
      <c r="AC29" s="104" t="str">
        <f t="shared" si="26"/>
        <v/>
      </c>
      <c r="AD29" s="104" t="str">
        <f t="shared" si="26"/>
        <v/>
      </c>
      <c r="AE29" s="104" t="str">
        <f t="shared" si="26"/>
        <v/>
      </c>
      <c r="AF29" s="104" t="str">
        <f t="shared" si="26"/>
        <v/>
      </c>
      <c r="AG29" s="104" t="str">
        <f t="shared" si="26"/>
        <v/>
      </c>
      <c r="AH29" s="104" t="str">
        <f t="shared" si="26"/>
        <v/>
      </c>
      <c r="AI29" s="104" t="str">
        <f t="shared" si="26"/>
        <v/>
      </c>
      <c r="AJ29" s="104" t="str">
        <f t="shared" si="26"/>
        <v/>
      </c>
      <c r="AK29" s="104" t="str">
        <f t="shared" si="26"/>
        <v/>
      </c>
      <c r="AL29" s="105" t="str">
        <f t="shared" si="26"/>
        <v/>
      </c>
      <c r="AM29" s="103" t="str">
        <f t="shared" si="26"/>
        <v/>
      </c>
      <c r="AN29" s="104" t="str">
        <f t="shared" si="26"/>
        <v/>
      </c>
      <c r="AO29" s="104" t="str">
        <f t="shared" si="26"/>
        <v/>
      </c>
      <c r="AP29" s="104" t="str">
        <f t="shared" si="26"/>
        <v/>
      </c>
      <c r="AQ29" s="104" t="str">
        <f t="shared" si="26"/>
        <v/>
      </c>
      <c r="AR29" s="260" t="str">
        <f t="shared" si="26"/>
        <v>SOP</v>
      </c>
      <c r="AS29" s="966"/>
      <c r="AT29" s="641" t="s">
        <v>38</v>
      </c>
      <c r="AU29" s="892" t="s">
        <v>409</v>
      </c>
      <c r="AV29" s="341"/>
      <c r="AW29" s="275"/>
      <c r="AX29" s="597" t="s">
        <v>3</v>
      </c>
    </row>
    <row r="30" spans="1:52" s="9" customFormat="1" ht="14.1" customHeight="1" thickBot="1">
      <c r="A30" s="181"/>
      <c r="B30" s="181"/>
      <c r="C30" s="101">
        <v>170</v>
      </c>
      <c r="D30" s="920"/>
      <c r="E30" s="6" t="s">
        <v>80</v>
      </c>
      <c r="F30" s="146" t="s">
        <v>431</v>
      </c>
      <c r="G30" s="146" t="s">
        <v>34</v>
      </c>
      <c r="H30" s="1102" t="s">
        <v>428</v>
      </c>
      <c r="I30" s="711" t="s">
        <v>99</v>
      </c>
      <c r="J30" s="37"/>
      <c r="K30" s="37"/>
      <c r="L30" s="828">
        <v>43174</v>
      </c>
      <c r="M30" s="829">
        <f>RBJP!BA30</f>
        <v>0</v>
      </c>
      <c r="N30" s="829">
        <f>RBJP!BC30</f>
        <v>0</v>
      </c>
      <c r="O30" s="829">
        <f>RBJP!BD30</f>
        <v>0</v>
      </c>
      <c r="P30" s="894">
        <v>43256</v>
      </c>
      <c r="Q30" s="802">
        <v>43283</v>
      </c>
      <c r="R30" s="811">
        <v>43328</v>
      </c>
      <c r="S30" s="803">
        <f>RBJP!BE30</f>
        <v>0</v>
      </c>
      <c r="T30" s="797" t="str">
        <f>RBJP!BH30</f>
        <v>tbd</v>
      </c>
      <c r="U30" s="802">
        <v>43359</v>
      </c>
      <c r="V30" s="831"/>
      <c r="W30" s="802">
        <v>43374</v>
      </c>
      <c r="X30" s="802"/>
      <c r="Y30" s="802"/>
      <c r="Z30" s="153">
        <v>6</v>
      </c>
      <c r="AA30" s="149" t="str">
        <f t="shared" si="0"/>
        <v/>
      </c>
      <c r="AB30" s="150" t="str">
        <f t="shared" ref="AB30:AR30" si="27">IF(AND($W30&lt;=AB$3,$W30&gt;AB$3-(AB$3-AA$3)),"SOP",IF(AND($Y30&lt;=AB$3,($Y30+$Z30*31)&gt;=AB$3),"X",""))</f>
        <v/>
      </c>
      <c r="AC30" s="150" t="str">
        <f t="shared" si="27"/>
        <v/>
      </c>
      <c r="AD30" s="150" t="str">
        <f t="shared" si="27"/>
        <v/>
      </c>
      <c r="AE30" s="150" t="str">
        <f t="shared" si="27"/>
        <v/>
      </c>
      <c r="AF30" s="150" t="str">
        <f t="shared" si="27"/>
        <v/>
      </c>
      <c r="AG30" s="150" t="str">
        <f t="shared" si="27"/>
        <v/>
      </c>
      <c r="AH30" s="150" t="str">
        <f t="shared" si="27"/>
        <v/>
      </c>
      <c r="AI30" s="150" t="str">
        <f t="shared" si="27"/>
        <v/>
      </c>
      <c r="AJ30" s="150" t="str">
        <f t="shared" si="27"/>
        <v/>
      </c>
      <c r="AK30" s="150" t="str">
        <f t="shared" si="27"/>
        <v/>
      </c>
      <c r="AL30" s="105" t="str">
        <f t="shared" si="27"/>
        <v/>
      </c>
      <c r="AM30" s="149" t="str">
        <f t="shared" si="27"/>
        <v/>
      </c>
      <c r="AN30" s="150" t="str">
        <f t="shared" si="27"/>
        <v/>
      </c>
      <c r="AO30" s="150" t="str">
        <f t="shared" si="27"/>
        <v/>
      </c>
      <c r="AP30" s="150" t="str">
        <f t="shared" si="27"/>
        <v/>
      </c>
      <c r="AQ30" s="150" t="str">
        <f t="shared" si="27"/>
        <v/>
      </c>
      <c r="AR30" s="750" t="str">
        <f t="shared" si="27"/>
        <v/>
      </c>
      <c r="AS30" s="967"/>
      <c r="AT30" s="758" t="s">
        <v>87</v>
      </c>
      <c r="AU30" s="892" t="s">
        <v>434</v>
      </c>
      <c r="AV30" s="308" t="s">
        <v>87</v>
      </c>
      <c r="AW30" s="308"/>
      <c r="AX30" s="598" t="s">
        <v>3</v>
      </c>
    </row>
    <row r="31" spans="1:52" ht="14.1" customHeight="1" outlineLevel="1" thickBot="1">
      <c r="A31" s="182"/>
      <c r="B31" s="182"/>
      <c r="C31" s="38">
        <v>351</v>
      </c>
      <c r="D31" s="918"/>
      <c r="E31" s="266" t="s">
        <v>80</v>
      </c>
      <c r="F31" s="138" t="s">
        <v>117</v>
      </c>
      <c r="G31" s="27" t="s">
        <v>45</v>
      </c>
      <c r="H31" s="31" t="s">
        <v>46</v>
      </c>
      <c r="I31" s="1032" t="s">
        <v>118</v>
      </c>
      <c r="J31" s="33" t="s">
        <v>48</v>
      </c>
      <c r="K31" s="33" t="s">
        <v>49</v>
      </c>
      <c r="L31" s="790">
        <v>42615</v>
      </c>
      <c r="M31" s="791">
        <f>RBJP!BA31</f>
        <v>42928</v>
      </c>
      <c r="N31" s="815">
        <f>RBJP!BC31</f>
        <v>0</v>
      </c>
      <c r="O31" s="815">
        <f>RBJP!BD31</f>
        <v>0</v>
      </c>
      <c r="P31" s="792">
        <v>42618</v>
      </c>
      <c r="Q31" s="809"/>
      <c r="R31" s="826"/>
      <c r="S31" s="816">
        <f>RBJP!BE31</f>
        <v>0</v>
      </c>
      <c r="T31" s="797" t="str">
        <f>RBJP!BH31</f>
        <v>tbd</v>
      </c>
      <c r="U31" s="826"/>
      <c r="V31" s="826"/>
      <c r="W31" s="826" t="s">
        <v>128</v>
      </c>
      <c r="X31" s="826"/>
      <c r="Y31" s="826" t="s">
        <v>128</v>
      </c>
      <c r="Z31" s="34">
        <v>3</v>
      </c>
      <c r="AA31" s="103" t="e">
        <f t="shared" si="0"/>
        <v>#VALUE!</v>
      </c>
      <c r="AB31" s="104" t="e">
        <f t="shared" ref="AB31:AR31" si="28">IF(AND($W31&lt;=AB$3,$W31&gt;AB$3-(AB$3-AA$3)),"SOP",IF(AND($Y31&lt;=AB$3,($Y31+$Z31*31)&gt;=AB$3),"X",""))</f>
        <v>#VALUE!</v>
      </c>
      <c r="AC31" s="104" t="e">
        <f t="shared" si="28"/>
        <v>#VALUE!</v>
      </c>
      <c r="AD31" s="104" t="e">
        <f t="shared" si="28"/>
        <v>#VALUE!</v>
      </c>
      <c r="AE31" s="104" t="e">
        <f t="shared" si="28"/>
        <v>#VALUE!</v>
      </c>
      <c r="AF31" s="104" t="e">
        <f t="shared" si="28"/>
        <v>#VALUE!</v>
      </c>
      <c r="AG31" s="104" t="e">
        <f t="shared" si="28"/>
        <v>#VALUE!</v>
      </c>
      <c r="AH31" s="104" t="e">
        <f t="shared" si="28"/>
        <v>#VALUE!</v>
      </c>
      <c r="AI31" s="104" t="e">
        <f t="shared" si="28"/>
        <v>#VALUE!</v>
      </c>
      <c r="AJ31" s="104" t="e">
        <f t="shared" si="28"/>
        <v>#VALUE!</v>
      </c>
      <c r="AK31" s="104" t="e">
        <f t="shared" si="28"/>
        <v>#VALUE!</v>
      </c>
      <c r="AL31" s="105" t="e">
        <f t="shared" si="28"/>
        <v>#VALUE!</v>
      </c>
      <c r="AM31" s="103" t="e">
        <f t="shared" si="28"/>
        <v>#VALUE!</v>
      </c>
      <c r="AN31" s="104" t="e">
        <f t="shared" si="28"/>
        <v>#VALUE!</v>
      </c>
      <c r="AO31" s="104" t="e">
        <f t="shared" si="28"/>
        <v>#VALUE!</v>
      </c>
      <c r="AP31" s="104" t="e">
        <f t="shared" si="28"/>
        <v>#VALUE!</v>
      </c>
      <c r="AQ31" s="104" t="e">
        <f t="shared" si="28"/>
        <v>#VALUE!</v>
      </c>
      <c r="AR31" s="260" t="e">
        <f t="shared" si="28"/>
        <v>#VALUE!</v>
      </c>
      <c r="AS31" s="966"/>
      <c r="AT31" s="644" t="s">
        <v>119</v>
      </c>
      <c r="AU31" s="1029" t="s">
        <v>402</v>
      </c>
      <c r="AV31" s="341"/>
      <c r="AW31" s="275"/>
      <c r="AX31" s="597" t="s">
        <v>3</v>
      </c>
    </row>
    <row r="32" spans="1:52" ht="13.5" thickBot="1">
      <c r="A32" s="182"/>
      <c r="B32" s="182"/>
      <c r="C32" s="38">
        <v>352</v>
      </c>
      <c r="D32" s="919" t="s">
        <v>31</v>
      </c>
      <c r="E32" s="13" t="s">
        <v>120</v>
      </c>
      <c r="F32" s="27" t="s">
        <v>121</v>
      </c>
      <c r="G32" s="27" t="s">
        <v>34</v>
      </c>
      <c r="H32" s="31" t="s">
        <v>122</v>
      </c>
      <c r="I32" s="334" t="s">
        <v>118</v>
      </c>
      <c r="J32" s="41"/>
      <c r="K32" s="42" t="s">
        <v>123</v>
      </c>
      <c r="L32" s="790">
        <v>42704</v>
      </c>
      <c r="M32" s="805">
        <f>RBJP!BA32</f>
        <v>0</v>
      </c>
      <c r="N32" s="805">
        <f>RBJP!BC32</f>
        <v>42846</v>
      </c>
      <c r="O32" s="805">
        <f>RBJP!BD32</f>
        <v>42865</v>
      </c>
      <c r="P32" s="792">
        <v>42787</v>
      </c>
      <c r="Q32" s="793">
        <v>42751</v>
      </c>
      <c r="R32" s="796">
        <v>42846</v>
      </c>
      <c r="S32" s="807">
        <f>RBJP!BE32</f>
        <v>42879</v>
      </c>
      <c r="T32" s="797" t="str">
        <f>RBJP!BH32</f>
        <v>-</v>
      </c>
      <c r="U32" s="796">
        <v>42892</v>
      </c>
      <c r="V32" s="796"/>
      <c r="W32" s="796">
        <v>42898</v>
      </c>
      <c r="X32" s="796"/>
      <c r="Y32" s="793">
        <v>42898</v>
      </c>
      <c r="Z32" s="34">
        <v>3</v>
      </c>
      <c r="AA32" s="103" t="str">
        <f t="shared" si="0"/>
        <v/>
      </c>
      <c r="AB32" s="104" t="str">
        <f t="shared" ref="AB32:AR32" si="29">IF(AND($W32&lt;=AB$3,$W32&gt;AB$3-(AB$3-AA$3)),"SOP",IF(AND($Y32&lt;=AB$3,($Y32+$Z32*31)&gt;=AB$3),"X",""))</f>
        <v/>
      </c>
      <c r="AC32" s="104" t="str">
        <f t="shared" si="29"/>
        <v/>
      </c>
      <c r="AD32" s="104" t="str">
        <f t="shared" si="29"/>
        <v/>
      </c>
      <c r="AE32" s="104" t="str">
        <f t="shared" si="29"/>
        <v/>
      </c>
      <c r="AF32" s="104" t="str">
        <f t="shared" si="29"/>
        <v>SOP</v>
      </c>
      <c r="AG32" s="104" t="str">
        <f t="shared" si="29"/>
        <v>X</v>
      </c>
      <c r="AH32" s="104" t="str">
        <f t="shared" si="29"/>
        <v>X</v>
      </c>
      <c r="AI32" s="104" t="str">
        <f t="shared" si="29"/>
        <v/>
      </c>
      <c r="AJ32" s="104" t="str">
        <f t="shared" si="29"/>
        <v/>
      </c>
      <c r="AK32" s="104" t="str">
        <f t="shared" si="29"/>
        <v/>
      </c>
      <c r="AL32" s="105" t="str">
        <f t="shared" si="29"/>
        <v/>
      </c>
      <c r="AM32" s="103" t="str">
        <f t="shared" si="29"/>
        <v/>
      </c>
      <c r="AN32" s="104" t="str">
        <f t="shared" si="29"/>
        <v/>
      </c>
      <c r="AO32" s="104" t="str">
        <f t="shared" si="29"/>
        <v/>
      </c>
      <c r="AP32" s="104" t="str">
        <f t="shared" si="29"/>
        <v/>
      </c>
      <c r="AQ32" s="104" t="str">
        <f t="shared" si="29"/>
        <v/>
      </c>
      <c r="AR32" s="751" t="str">
        <f t="shared" si="29"/>
        <v/>
      </c>
      <c r="AS32" s="755"/>
      <c r="AT32" s="758" t="s">
        <v>38</v>
      </c>
      <c r="AU32" s="637" t="s">
        <v>299</v>
      </c>
      <c r="AV32" s="275"/>
      <c r="AW32" s="275"/>
      <c r="AX32" s="597" t="s">
        <v>3</v>
      </c>
    </row>
    <row r="33" spans="1:50" ht="13.5" thickBot="1">
      <c r="A33" s="182"/>
      <c r="B33" s="182"/>
      <c r="C33" s="38">
        <v>113</v>
      </c>
      <c r="D33" s="923" t="s">
        <v>31</v>
      </c>
      <c r="E33" s="8" t="s">
        <v>120</v>
      </c>
      <c r="F33" s="138" t="s">
        <v>124</v>
      </c>
      <c r="G33" s="27" t="s">
        <v>34</v>
      </c>
      <c r="H33" s="31" t="s">
        <v>35</v>
      </c>
      <c r="I33" s="710" t="s">
        <v>118</v>
      </c>
      <c r="J33" s="33" t="s">
        <v>78</v>
      </c>
      <c r="K33" s="33" t="s">
        <v>125</v>
      </c>
      <c r="L33" s="790">
        <v>42655</v>
      </c>
      <c r="M33" s="791">
        <f>RBJP!BA33</f>
        <v>0</v>
      </c>
      <c r="N33" s="791">
        <f>RBJP!BC33</f>
        <v>42852</v>
      </c>
      <c r="O33" s="791">
        <f>RBJP!BD33</f>
        <v>42866</v>
      </c>
      <c r="P33" s="792">
        <v>42689</v>
      </c>
      <c r="Q33" s="793">
        <v>42814</v>
      </c>
      <c r="R33" s="796">
        <v>42899</v>
      </c>
      <c r="S33" s="794">
        <f>RBJP!BE33</f>
        <v>42915</v>
      </c>
      <c r="T33" s="797">
        <f>RBJP!BH33</f>
        <v>42871</v>
      </c>
      <c r="U33" s="796">
        <v>42948</v>
      </c>
      <c r="V33" s="826"/>
      <c r="W33" s="798">
        <v>42979</v>
      </c>
      <c r="X33" s="798"/>
      <c r="Y33" s="793">
        <v>42993</v>
      </c>
      <c r="Z33" s="34">
        <v>3</v>
      </c>
      <c r="AA33" s="103" t="str">
        <f t="shared" si="0"/>
        <v/>
      </c>
      <c r="AB33" s="104" t="str">
        <f t="shared" ref="AB33:AR33" si="30">IF(AND($W33&lt;=AB$3,$W33&gt;AB$3-(AB$3-AA$3)),"SOP",IF(AND($Y33&lt;=AB$3,($Y33+$Z33*31)&gt;=AB$3),"X",""))</f>
        <v/>
      </c>
      <c r="AC33" s="104" t="str">
        <f t="shared" si="30"/>
        <v/>
      </c>
      <c r="AD33" s="104" t="str">
        <f t="shared" si="30"/>
        <v/>
      </c>
      <c r="AE33" s="104" t="str">
        <f t="shared" si="30"/>
        <v/>
      </c>
      <c r="AF33" s="104" t="str">
        <f t="shared" si="30"/>
        <v/>
      </c>
      <c r="AG33" s="104" t="str">
        <f t="shared" si="30"/>
        <v/>
      </c>
      <c r="AH33" s="104" t="str">
        <f t="shared" si="30"/>
        <v/>
      </c>
      <c r="AI33" s="104" t="str">
        <f t="shared" si="30"/>
        <v>SOP</v>
      </c>
      <c r="AJ33" s="104" t="str">
        <f t="shared" si="30"/>
        <v>X</v>
      </c>
      <c r="AK33" s="104" t="str">
        <f t="shared" si="30"/>
        <v>X</v>
      </c>
      <c r="AL33" s="105" t="str">
        <f t="shared" si="30"/>
        <v/>
      </c>
      <c r="AM33" s="103" t="str">
        <f t="shared" si="30"/>
        <v/>
      </c>
      <c r="AN33" s="104" t="str">
        <f t="shared" si="30"/>
        <v/>
      </c>
      <c r="AO33" s="104" t="str">
        <f t="shared" si="30"/>
        <v/>
      </c>
      <c r="AP33" s="104" t="str">
        <f t="shared" si="30"/>
        <v/>
      </c>
      <c r="AQ33" s="104" t="str">
        <f t="shared" si="30"/>
        <v/>
      </c>
      <c r="AR33" s="260" t="str">
        <f t="shared" si="30"/>
        <v/>
      </c>
      <c r="AS33" s="755"/>
      <c r="AT33" s="641" t="s">
        <v>38</v>
      </c>
      <c r="AU33" s="636" t="s">
        <v>373</v>
      </c>
      <c r="AV33" s="341"/>
      <c r="AW33" s="271"/>
      <c r="AX33" s="597" t="s">
        <v>3</v>
      </c>
    </row>
    <row r="34" spans="1:50" s="141" customFormat="1" ht="26.25" thickBot="1">
      <c r="A34" s="185"/>
      <c r="B34" s="185"/>
      <c r="C34" s="139">
        <v>292</v>
      </c>
      <c r="D34" s="926"/>
      <c r="E34" s="140" t="s">
        <v>120</v>
      </c>
      <c r="F34" s="140" t="s">
        <v>126</v>
      </c>
      <c r="G34" s="167" t="s">
        <v>34</v>
      </c>
      <c r="H34" s="168" t="s">
        <v>127</v>
      </c>
      <c r="I34" s="1039" t="s">
        <v>118</v>
      </c>
      <c r="J34" s="107"/>
      <c r="K34" s="107"/>
      <c r="L34" s="832" t="s">
        <v>128</v>
      </c>
      <c r="M34" s="829">
        <f>RBJP!BA34</f>
        <v>0</v>
      </c>
      <c r="N34" s="829">
        <f>RBJP!BC34</f>
        <v>0</v>
      </c>
      <c r="O34" s="829">
        <f>RBJP!BD34</f>
        <v>0</v>
      </c>
      <c r="P34" s="833" t="s">
        <v>128</v>
      </c>
      <c r="Q34" s="834"/>
      <c r="R34" s="834"/>
      <c r="S34" s="803">
        <f>RBJP!BE34</f>
        <v>0</v>
      </c>
      <c r="T34" s="797" t="str">
        <f>RBJP!BH34</f>
        <v>-</v>
      </c>
      <c r="U34" s="834"/>
      <c r="V34" s="834"/>
      <c r="W34" s="834">
        <v>43281</v>
      </c>
      <c r="X34" s="834"/>
      <c r="Y34" s="834"/>
      <c r="Z34" s="169"/>
      <c r="AA34" s="149" t="str">
        <f t="shared" si="0"/>
        <v/>
      </c>
      <c r="AB34" s="150" t="str">
        <f t="shared" ref="AB34:AR34" si="31">IF(AND($W34&lt;=AB$3,$W34&gt;AB$3-(AB$3-AA$3)),"SOP",IF(AND($Y34&lt;=AB$3,($Y34+$Z34*31)&gt;=AB$3),"X",""))</f>
        <v/>
      </c>
      <c r="AC34" s="150" t="str">
        <f t="shared" si="31"/>
        <v/>
      </c>
      <c r="AD34" s="150" t="str">
        <f t="shared" si="31"/>
        <v/>
      </c>
      <c r="AE34" s="150" t="str">
        <f t="shared" si="31"/>
        <v/>
      </c>
      <c r="AF34" s="150" t="str">
        <f t="shared" si="31"/>
        <v/>
      </c>
      <c r="AG34" s="170" t="str">
        <f t="shared" si="31"/>
        <v/>
      </c>
      <c r="AH34" s="170" t="str">
        <f t="shared" si="31"/>
        <v/>
      </c>
      <c r="AI34" s="170" t="str">
        <f t="shared" si="31"/>
        <v/>
      </c>
      <c r="AJ34" s="170" t="str">
        <f t="shared" si="31"/>
        <v/>
      </c>
      <c r="AK34" s="170" t="str">
        <f t="shared" si="31"/>
        <v/>
      </c>
      <c r="AL34" s="171" t="str">
        <f t="shared" si="31"/>
        <v/>
      </c>
      <c r="AM34" s="172" t="str">
        <f t="shared" si="31"/>
        <v/>
      </c>
      <c r="AN34" s="170" t="str">
        <f t="shared" si="31"/>
        <v/>
      </c>
      <c r="AO34" s="170" t="str">
        <f t="shared" si="31"/>
        <v/>
      </c>
      <c r="AP34" s="170" t="str">
        <f t="shared" si="31"/>
        <v/>
      </c>
      <c r="AQ34" s="170" t="str">
        <f t="shared" si="31"/>
        <v/>
      </c>
      <c r="AR34" s="752" t="str">
        <f t="shared" si="31"/>
        <v>SOP</v>
      </c>
      <c r="AS34" s="757"/>
      <c r="AT34" s="646">
        <v>0</v>
      </c>
      <c r="AU34" s="1106" t="s">
        <v>457</v>
      </c>
      <c r="AV34" s="277">
        <v>0</v>
      </c>
      <c r="AW34" s="277"/>
      <c r="AX34" s="598" t="s">
        <v>3</v>
      </c>
    </row>
    <row r="35" spans="1:50" ht="14.1" customHeight="1" thickBot="1">
      <c r="A35" s="184"/>
      <c r="B35" s="184"/>
      <c r="C35" s="132">
        <v>168</v>
      </c>
      <c r="D35" s="1115">
        <v>43157</v>
      </c>
      <c r="E35" s="143" t="s">
        <v>129</v>
      </c>
      <c r="F35" s="134" t="s">
        <v>337</v>
      </c>
      <c r="G35" s="134" t="s">
        <v>45</v>
      </c>
      <c r="H35" s="188" t="s">
        <v>35</v>
      </c>
      <c r="I35" s="1038" t="s">
        <v>112</v>
      </c>
      <c r="J35" s="36" t="s">
        <v>42</v>
      </c>
      <c r="K35" s="36" t="s">
        <v>130</v>
      </c>
      <c r="L35" s="856" t="s">
        <v>166</v>
      </c>
      <c r="M35" s="835">
        <f>RBJP!BA35</f>
        <v>0</v>
      </c>
      <c r="N35" s="835">
        <f>RBJP!BC35</f>
        <v>0</v>
      </c>
      <c r="O35" s="835">
        <f>RBJP!BD35</f>
        <v>0</v>
      </c>
      <c r="P35" s="944" t="s">
        <v>166</v>
      </c>
      <c r="Q35" s="824"/>
      <c r="R35" s="835"/>
      <c r="S35" s="836">
        <f>RBJP!BE35</f>
        <v>0</v>
      </c>
      <c r="T35" s="1108">
        <f>RBJP!BH35</f>
        <v>43160</v>
      </c>
      <c r="U35" s="1109"/>
      <c r="V35" s="1110"/>
      <c r="W35" s="824">
        <v>43449</v>
      </c>
      <c r="X35" s="824"/>
      <c r="Y35" s="824">
        <v>43495</v>
      </c>
      <c r="Z35" s="135">
        <v>10</v>
      </c>
      <c r="AA35" s="136" t="str">
        <f t="shared" si="0"/>
        <v/>
      </c>
      <c r="AB35" s="117" t="str">
        <f t="shared" ref="AB35:AR35" si="32">IF(AND($W35&lt;=AB$3,$W35&gt;AB$3-(AB$3-AA$3)),"SOP",IF(AND($Y35&lt;=AB$3,($Y35+$Z35*31)&gt;=AB$3),"X",""))</f>
        <v/>
      </c>
      <c r="AC35" s="117" t="str">
        <f t="shared" si="32"/>
        <v/>
      </c>
      <c r="AD35" s="117" t="str">
        <f t="shared" si="32"/>
        <v/>
      </c>
      <c r="AE35" s="117" t="str">
        <f t="shared" si="32"/>
        <v/>
      </c>
      <c r="AF35" s="117" t="str">
        <f t="shared" si="32"/>
        <v/>
      </c>
      <c r="AG35" s="117" t="str">
        <f t="shared" si="32"/>
        <v/>
      </c>
      <c r="AH35" s="117" t="str">
        <f t="shared" si="32"/>
        <v/>
      </c>
      <c r="AI35" s="117" t="str">
        <f t="shared" si="32"/>
        <v/>
      </c>
      <c r="AJ35" s="117" t="str">
        <f t="shared" si="32"/>
        <v/>
      </c>
      <c r="AK35" s="117" t="str">
        <f t="shared" si="32"/>
        <v/>
      </c>
      <c r="AL35" s="118" t="str">
        <f t="shared" si="32"/>
        <v/>
      </c>
      <c r="AM35" s="136" t="str">
        <f t="shared" si="32"/>
        <v/>
      </c>
      <c r="AN35" s="117" t="str">
        <f t="shared" si="32"/>
        <v/>
      </c>
      <c r="AO35" s="117" t="str">
        <f t="shared" si="32"/>
        <v/>
      </c>
      <c r="AP35" s="117" t="str">
        <f t="shared" si="32"/>
        <v/>
      </c>
      <c r="AQ35" s="117" t="str">
        <f t="shared" si="32"/>
        <v/>
      </c>
      <c r="AR35" s="261" t="str">
        <f t="shared" si="32"/>
        <v/>
      </c>
      <c r="AS35" s="1111"/>
      <c r="AT35" s="642" t="s">
        <v>321</v>
      </c>
      <c r="AU35" s="1106" t="s">
        <v>481</v>
      </c>
      <c r="AV35" s="309" t="s">
        <v>455</v>
      </c>
      <c r="AW35" s="276"/>
      <c r="AX35" s="597" t="s">
        <v>3</v>
      </c>
    </row>
    <row r="36" spans="1:50" s="9" customFormat="1" ht="14.1" customHeight="1" thickBot="1">
      <c r="A36" s="181"/>
      <c r="B36" s="181"/>
      <c r="C36" s="43">
        <v>390</v>
      </c>
      <c r="D36" s="920"/>
      <c r="E36" s="6" t="s">
        <v>129</v>
      </c>
      <c r="F36" s="146" t="s">
        <v>132</v>
      </c>
      <c r="G36" s="146" t="s">
        <v>45</v>
      </c>
      <c r="H36" s="147" t="s">
        <v>69</v>
      </c>
      <c r="I36" s="1034" t="s">
        <v>112</v>
      </c>
      <c r="J36" s="37" t="s">
        <v>42</v>
      </c>
      <c r="K36" s="37" t="s">
        <v>133</v>
      </c>
      <c r="L36" s="846" t="s">
        <v>131</v>
      </c>
      <c r="M36" s="829">
        <f>RBJP!BA36</f>
        <v>0</v>
      </c>
      <c r="N36" s="829">
        <f>RBJP!BC36</f>
        <v>0</v>
      </c>
      <c r="O36" s="829">
        <f>RBJP!BD36</f>
        <v>0</v>
      </c>
      <c r="P36" s="894" t="s">
        <v>131</v>
      </c>
      <c r="Q36" s="802"/>
      <c r="R36" s="831"/>
      <c r="S36" s="803">
        <f>RBJP!BE36</f>
        <v>0</v>
      </c>
      <c r="T36" s="804" t="str">
        <f>RBJP!BH36</f>
        <v>-</v>
      </c>
      <c r="U36" s="830"/>
      <c r="V36" s="811"/>
      <c r="W36" s="802">
        <v>43449</v>
      </c>
      <c r="X36" s="802"/>
      <c r="Y36" s="802">
        <v>43495</v>
      </c>
      <c r="Z36" s="153">
        <v>10</v>
      </c>
      <c r="AA36" s="149" t="str">
        <f t="shared" si="0"/>
        <v/>
      </c>
      <c r="AB36" s="150" t="str">
        <f t="shared" ref="AB36:AR36" si="33">IF(AND($W36&lt;=AB$3,$W36&gt;AB$3-(AB$3-AA$3)),"SOP",IF(AND($Y36&lt;=AB$3,($Y36+$Z36*31)&gt;=AB$3),"X",""))</f>
        <v/>
      </c>
      <c r="AC36" s="150" t="str">
        <f t="shared" si="33"/>
        <v/>
      </c>
      <c r="AD36" s="150" t="str">
        <f t="shared" si="33"/>
        <v/>
      </c>
      <c r="AE36" s="150" t="str">
        <f t="shared" si="33"/>
        <v/>
      </c>
      <c r="AF36" s="150" t="str">
        <f t="shared" si="33"/>
        <v/>
      </c>
      <c r="AG36" s="150" t="str">
        <f t="shared" si="33"/>
        <v/>
      </c>
      <c r="AH36" s="150" t="str">
        <f t="shared" si="33"/>
        <v/>
      </c>
      <c r="AI36" s="150" t="str">
        <f t="shared" si="33"/>
        <v/>
      </c>
      <c r="AJ36" s="150" t="str">
        <f t="shared" si="33"/>
        <v/>
      </c>
      <c r="AK36" s="150" t="str">
        <f t="shared" si="33"/>
        <v/>
      </c>
      <c r="AL36" s="151" t="str">
        <f t="shared" si="33"/>
        <v/>
      </c>
      <c r="AM36" s="149" t="str">
        <f t="shared" si="33"/>
        <v/>
      </c>
      <c r="AN36" s="150" t="str">
        <f t="shared" si="33"/>
        <v/>
      </c>
      <c r="AO36" s="150" t="str">
        <f t="shared" si="33"/>
        <v/>
      </c>
      <c r="AP36" s="150" t="str">
        <f t="shared" si="33"/>
        <v/>
      </c>
      <c r="AQ36" s="150" t="str">
        <f t="shared" si="33"/>
        <v/>
      </c>
      <c r="AR36" s="750" t="str">
        <f t="shared" si="33"/>
        <v/>
      </c>
      <c r="AS36" s="967"/>
      <c r="AT36" s="644" t="s">
        <v>321</v>
      </c>
      <c r="AU36" s="1029" t="s">
        <v>413</v>
      </c>
      <c r="AV36" s="272">
        <v>0</v>
      </c>
      <c r="AW36" s="272"/>
      <c r="AX36" s="598" t="s">
        <v>3</v>
      </c>
    </row>
    <row r="37" spans="1:50" s="26" customFormat="1" ht="13.5" thickBot="1">
      <c r="A37" s="184"/>
      <c r="B37" s="184"/>
      <c r="C37" s="626">
        <v>180</v>
      </c>
      <c r="D37" s="925"/>
      <c r="E37" s="143" t="s">
        <v>134</v>
      </c>
      <c r="F37" s="134" t="s">
        <v>135</v>
      </c>
      <c r="G37" s="134" t="s">
        <v>34</v>
      </c>
      <c r="H37" s="188" t="s">
        <v>51</v>
      </c>
      <c r="I37" s="1038" t="s">
        <v>136</v>
      </c>
      <c r="J37" s="189"/>
      <c r="K37" s="189"/>
      <c r="L37" s="945" t="s">
        <v>131</v>
      </c>
      <c r="M37" s="835">
        <f>RBJP!BA37</f>
        <v>0</v>
      </c>
      <c r="N37" s="835">
        <f>RBJP!BC37</f>
        <v>0</v>
      </c>
      <c r="O37" s="835">
        <f>RBJP!BD37</f>
        <v>0</v>
      </c>
      <c r="P37" s="946" t="s">
        <v>131</v>
      </c>
      <c r="Q37" s="835">
        <v>42931</v>
      </c>
      <c r="R37" s="835">
        <v>42993</v>
      </c>
      <c r="S37" s="836">
        <f>RBJP!BE37</f>
        <v>0</v>
      </c>
      <c r="T37" s="795" t="str">
        <f>RBJP!BH37</f>
        <v>-</v>
      </c>
      <c r="U37" s="835">
        <v>43100</v>
      </c>
      <c r="V37" s="835"/>
      <c r="W37" s="835">
        <v>43191</v>
      </c>
      <c r="X37" s="835"/>
      <c r="Y37" s="835">
        <v>43252</v>
      </c>
      <c r="Z37" s="135">
        <v>6</v>
      </c>
      <c r="AA37" s="136" t="str">
        <f t="shared" si="0"/>
        <v/>
      </c>
      <c r="AB37" s="117" t="str">
        <f t="shared" ref="AB37:AR37" si="34">IF(AND($W37&lt;=AB$3,$W37&gt;AB$3-(AB$3-AA$3)),"SOP",IF(AND($Y37&lt;=AB$3,($Y37+$Z37*31)&gt;=AB$3),"X",""))</f>
        <v/>
      </c>
      <c r="AC37" s="117" t="str">
        <f t="shared" si="34"/>
        <v/>
      </c>
      <c r="AD37" s="117" t="str">
        <f t="shared" si="34"/>
        <v/>
      </c>
      <c r="AE37" s="117" t="str">
        <f t="shared" si="34"/>
        <v/>
      </c>
      <c r="AF37" s="117" t="str">
        <f t="shared" si="34"/>
        <v/>
      </c>
      <c r="AG37" s="117" t="str">
        <f t="shared" si="34"/>
        <v/>
      </c>
      <c r="AH37" s="117" t="str">
        <f t="shared" si="34"/>
        <v/>
      </c>
      <c r="AI37" s="117" t="str">
        <f t="shared" si="34"/>
        <v/>
      </c>
      <c r="AJ37" s="117" t="str">
        <f t="shared" si="34"/>
        <v/>
      </c>
      <c r="AK37" s="117" t="str">
        <f t="shared" si="34"/>
        <v/>
      </c>
      <c r="AL37" s="118" t="str">
        <f t="shared" si="34"/>
        <v/>
      </c>
      <c r="AM37" s="136" t="str">
        <f t="shared" si="34"/>
        <v/>
      </c>
      <c r="AN37" s="117" t="str">
        <f t="shared" si="34"/>
        <v/>
      </c>
      <c r="AO37" s="117" t="str">
        <f t="shared" si="34"/>
        <v/>
      </c>
      <c r="AP37" s="117" t="str">
        <f t="shared" si="34"/>
        <v>SOP</v>
      </c>
      <c r="AQ37" s="117" t="str">
        <f t="shared" si="34"/>
        <v/>
      </c>
      <c r="AR37" s="261" t="str">
        <f t="shared" si="34"/>
        <v>X</v>
      </c>
      <c r="AS37" s="759"/>
      <c r="AT37" s="646" t="s">
        <v>38</v>
      </c>
      <c r="AU37" s="640" t="s">
        <v>298</v>
      </c>
      <c r="AV37" s="276">
        <v>0</v>
      </c>
      <c r="AW37" s="276"/>
      <c r="AX37" s="600" t="s">
        <v>3</v>
      </c>
    </row>
    <row r="38" spans="1:50" s="9" customFormat="1" ht="14.1" customHeight="1" outlineLevel="1" thickBot="1">
      <c r="A38" s="181"/>
      <c r="B38" s="181"/>
      <c r="C38" s="101">
        <v>270</v>
      </c>
      <c r="D38" s="920"/>
      <c r="E38" s="126" t="s">
        <v>134</v>
      </c>
      <c r="F38" s="146" t="s">
        <v>137</v>
      </c>
      <c r="G38" s="146" t="s">
        <v>34</v>
      </c>
      <c r="H38" s="279" t="s">
        <v>69</v>
      </c>
      <c r="I38" s="1032" t="s">
        <v>136</v>
      </c>
      <c r="J38" s="41" t="s">
        <v>138</v>
      </c>
      <c r="K38" s="41" t="s">
        <v>138</v>
      </c>
      <c r="L38" s="909" t="s">
        <v>166</v>
      </c>
      <c r="M38" s="805">
        <f>RBJP!BA38</f>
        <v>0</v>
      </c>
      <c r="N38" s="791">
        <f>RBJP!BC38</f>
        <v>43060</v>
      </c>
      <c r="O38" s="796">
        <f>RBJP!BD38</f>
        <v>43068</v>
      </c>
      <c r="P38" s="894" t="s">
        <v>166</v>
      </c>
      <c r="Q38" s="786">
        <v>43082</v>
      </c>
      <c r="R38" s="894">
        <v>43171</v>
      </c>
      <c r="S38" s="902">
        <f>RBJP!BE38</f>
        <v>43082</v>
      </c>
      <c r="T38" s="797">
        <f>RBJP!BH38</f>
        <v>0</v>
      </c>
      <c r="U38" s="894">
        <v>43185</v>
      </c>
      <c r="V38" s="894" t="s">
        <v>166</v>
      </c>
      <c r="W38" s="1118">
        <v>43497</v>
      </c>
      <c r="X38" s="802"/>
      <c r="Y38" s="802">
        <v>43497</v>
      </c>
      <c r="Z38" s="153">
        <v>6</v>
      </c>
      <c r="AA38" s="616" t="str">
        <f t="shared" si="0"/>
        <v/>
      </c>
      <c r="AB38" s="150" t="str">
        <f t="shared" ref="AB38:AR38" si="35">IF(AND($W38&lt;=AB$3,$W38&gt;AB$3-(AB$3-AA$3)),"SOP",IF(AND($Y38&lt;=AB$3,($Y38+$Z38*31)&gt;=AB$3),"X",""))</f>
        <v/>
      </c>
      <c r="AC38" s="150" t="str">
        <f t="shared" si="35"/>
        <v/>
      </c>
      <c r="AD38" s="150" t="str">
        <f t="shared" si="35"/>
        <v/>
      </c>
      <c r="AE38" s="150" t="str">
        <f t="shared" si="35"/>
        <v/>
      </c>
      <c r="AF38" s="150" t="str">
        <f t="shared" si="35"/>
        <v/>
      </c>
      <c r="AG38" s="150" t="str">
        <f t="shared" si="35"/>
        <v/>
      </c>
      <c r="AH38" s="150" t="str">
        <f t="shared" si="35"/>
        <v/>
      </c>
      <c r="AI38" s="150" t="str">
        <f t="shared" si="35"/>
        <v/>
      </c>
      <c r="AJ38" s="150" t="str">
        <f t="shared" si="35"/>
        <v/>
      </c>
      <c r="AK38" s="150" t="str">
        <f t="shared" si="35"/>
        <v/>
      </c>
      <c r="AL38" s="151" t="str">
        <f t="shared" si="35"/>
        <v/>
      </c>
      <c r="AM38" s="172" t="str">
        <f t="shared" si="35"/>
        <v/>
      </c>
      <c r="AN38" s="170" t="str">
        <f t="shared" si="35"/>
        <v/>
      </c>
      <c r="AO38" s="170" t="str">
        <f t="shared" si="35"/>
        <v/>
      </c>
      <c r="AP38" s="150" t="str">
        <f t="shared" si="35"/>
        <v/>
      </c>
      <c r="AQ38" s="150" t="str">
        <f t="shared" si="35"/>
        <v/>
      </c>
      <c r="AR38" s="750" t="str">
        <f t="shared" si="35"/>
        <v/>
      </c>
      <c r="AS38" s="967"/>
      <c r="AT38" s="644" t="s">
        <v>119</v>
      </c>
      <c r="AU38" s="892" t="s">
        <v>489</v>
      </c>
      <c r="AV38" s="341" t="s">
        <v>316</v>
      </c>
      <c r="AW38" s="273"/>
      <c r="AX38" s="597" t="s">
        <v>3</v>
      </c>
    </row>
    <row r="39" spans="1:50" ht="14.1" customHeight="1" thickBot="1">
      <c r="A39" s="182"/>
      <c r="B39" s="182"/>
      <c r="C39" s="129">
        <v>186</v>
      </c>
      <c r="D39" s="917"/>
      <c r="E39" s="22" t="s">
        <v>139</v>
      </c>
      <c r="F39" s="27" t="s">
        <v>140</v>
      </c>
      <c r="G39" s="27" t="s">
        <v>34</v>
      </c>
      <c r="H39" s="31" t="s">
        <v>69</v>
      </c>
      <c r="I39" s="1035" t="s">
        <v>1</v>
      </c>
      <c r="J39" s="282" t="s">
        <v>42</v>
      </c>
      <c r="K39" s="283" t="s">
        <v>141</v>
      </c>
      <c r="L39" s="839" t="s">
        <v>131</v>
      </c>
      <c r="M39" s="840" t="str">
        <f>RBJP!BA39</f>
        <v>done</v>
      </c>
      <c r="N39" s="840" t="str">
        <f>RBJP!BC39</f>
        <v>done</v>
      </c>
      <c r="O39" s="840">
        <f>RBJP!BD39</f>
        <v>42944</v>
      </c>
      <c r="P39" s="792" t="s">
        <v>131</v>
      </c>
      <c r="Q39" s="793">
        <v>43129</v>
      </c>
      <c r="R39" s="823">
        <v>43227</v>
      </c>
      <c r="S39" s="841">
        <f>RBJP!BE39</f>
        <v>43054</v>
      </c>
      <c r="T39" s="797">
        <f>RBJP!BH39</f>
        <v>43237</v>
      </c>
      <c r="U39" s="823">
        <v>43251</v>
      </c>
      <c r="V39" s="809"/>
      <c r="W39" s="867">
        <v>43388</v>
      </c>
      <c r="X39" s="867"/>
      <c r="Y39" s="867">
        <v>43419</v>
      </c>
      <c r="Z39" s="34">
        <v>12</v>
      </c>
      <c r="AA39" s="103" t="str">
        <f t="shared" si="0"/>
        <v/>
      </c>
      <c r="AB39" s="104" t="str">
        <f t="shared" ref="AB39:AR39" si="36">IF(AND($W39&lt;=AB$3,$W39&gt;AB$3-(AB$3-AA$3)),"SOP",IF(AND($Y39&lt;=AB$3,($Y39+$Z39*31)&gt;=AB$3),"X",""))</f>
        <v/>
      </c>
      <c r="AC39" s="104" t="str">
        <f t="shared" si="36"/>
        <v/>
      </c>
      <c r="AD39" s="104" t="str">
        <f t="shared" si="36"/>
        <v/>
      </c>
      <c r="AE39" s="104" t="str">
        <f t="shared" si="36"/>
        <v/>
      </c>
      <c r="AF39" s="104" t="str">
        <f t="shared" si="36"/>
        <v/>
      </c>
      <c r="AG39" s="104" t="str">
        <f t="shared" si="36"/>
        <v/>
      </c>
      <c r="AH39" s="104" t="str">
        <f t="shared" si="36"/>
        <v/>
      </c>
      <c r="AI39" s="104" t="str">
        <f t="shared" si="36"/>
        <v/>
      </c>
      <c r="AJ39" s="104" t="str">
        <f t="shared" si="36"/>
        <v/>
      </c>
      <c r="AK39" s="104" t="str">
        <f t="shared" si="36"/>
        <v/>
      </c>
      <c r="AL39" s="105" t="str">
        <f t="shared" si="36"/>
        <v/>
      </c>
      <c r="AM39" s="103" t="str">
        <f t="shared" si="36"/>
        <v/>
      </c>
      <c r="AN39" s="104" t="str">
        <f t="shared" si="36"/>
        <v/>
      </c>
      <c r="AO39" s="104" t="str">
        <f t="shared" si="36"/>
        <v/>
      </c>
      <c r="AP39" s="104" t="str">
        <f t="shared" si="36"/>
        <v/>
      </c>
      <c r="AQ39" s="104" t="str">
        <f t="shared" si="36"/>
        <v/>
      </c>
      <c r="AR39" s="260" t="str">
        <f t="shared" si="36"/>
        <v/>
      </c>
      <c r="AS39" s="966"/>
      <c r="AT39" s="644" t="s">
        <v>321</v>
      </c>
      <c r="AU39" s="1121" t="s">
        <v>492</v>
      </c>
      <c r="AV39" s="341" t="s">
        <v>321</v>
      </c>
      <c r="AW39" s="275"/>
      <c r="AX39" s="597" t="s">
        <v>3</v>
      </c>
    </row>
    <row r="40" spans="1:50" ht="13.5" outlineLevel="1" thickBot="1">
      <c r="A40" s="182"/>
      <c r="B40" s="182"/>
      <c r="C40" s="129">
        <v>237</v>
      </c>
      <c r="D40" s="917"/>
      <c r="E40" s="22" t="s">
        <v>139</v>
      </c>
      <c r="F40" s="27" t="s">
        <v>140</v>
      </c>
      <c r="G40" s="27" t="s">
        <v>34</v>
      </c>
      <c r="H40" s="31" t="s">
        <v>35</v>
      </c>
      <c r="I40" s="1032" t="s">
        <v>1</v>
      </c>
      <c r="J40" s="36" t="s">
        <v>142</v>
      </c>
      <c r="K40" s="36" t="s">
        <v>142</v>
      </c>
      <c r="L40" s="837"/>
      <c r="M40" s="805">
        <f>RBJP!BA40</f>
        <v>0</v>
      </c>
      <c r="N40" s="805">
        <f>RBJP!BC40</f>
        <v>0</v>
      </c>
      <c r="O40" s="805">
        <f>RBJP!BD40</f>
        <v>0</v>
      </c>
      <c r="P40" s="843"/>
      <c r="Q40" s="806"/>
      <c r="R40" s="806"/>
      <c r="S40" s="807">
        <f>RBJP!BE40</f>
        <v>0</v>
      </c>
      <c r="T40" s="797" t="str">
        <f>RBJP!BH40</f>
        <v>-</v>
      </c>
      <c r="U40" s="806"/>
      <c r="V40" s="806"/>
      <c r="W40" s="842">
        <v>43388</v>
      </c>
      <c r="X40" s="842"/>
      <c r="Y40" s="842">
        <v>43419</v>
      </c>
      <c r="Z40" s="34">
        <v>12</v>
      </c>
      <c r="AA40" s="103" t="str">
        <f t="shared" si="0"/>
        <v/>
      </c>
      <c r="AB40" s="104" t="str">
        <f t="shared" ref="AB40:AR40" si="37">IF(AND($W40&lt;=AB$3,$W40&gt;AB$3-(AB$3-AA$3)),"SOP",IF(AND($Y40&lt;=AB$3,($Y40+$Z40*31)&gt;=AB$3),"X",""))</f>
        <v/>
      </c>
      <c r="AC40" s="104" t="str">
        <f t="shared" si="37"/>
        <v/>
      </c>
      <c r="AD40" s="104" t="str">
        <f t="shared" si="37"/>
        <v/>
      </c>
      <c r="AE40" s="104" t="str">
        <f t="shared" si="37"/>
        <v/>
      </c>
      <c r="AF40" s="104" t="str">
        <f t="shared" si="37"/>
        <v/>
      </c>
      <c r="AG40" s="104" t="str">
        <f t="shared" si="37"/>
        <v/>
      </c>
      <c r="AH40" s="104" t="str">
        <f t="shared" si="37"/>
        <v/>
      </c>
      <c r="AI40" s="104" t="str">
        <f t="shared" si="37"/>
        <v/>
      </c>
      <c r="AJ40" s="104" t="str">
        <f t="shared" si="37"/>
        <v/>
      </c>
      <c r="AK40" s="104" t="str">
        <f t="shared" si="37"/>
        <v/>
      </c>
      <c r="AL40" s="105" t="str">
        <f t="shared" si="37"/>
        <v/>
      </c>
      <c r="AM40" s="128" t="str">
        <f t="shared" si="37"/>
        <v/>
      </c>
      <c r="AN40" s="127" t="str">
        <f t="shared" si="37"/>
        <v/>
      </c>
      <c r="AO40" s="127" t="str">
        <f t="shared" si="37"/>
        <v/>
      </c>
      <c r="AP40" s="127" t="str">
        <f t="shared" si="37"/>
        <v/>
      </c>
      <c r="AQ40" s="104" t="str">
        <f t="shared" si="37"/>
        <v/>
      </c>
      <c r="AR40" s="260" t="str">
        <f t="shared" si="37"/>
        <v/>
      </c>
      <c r="AS40" s="755"/>
      <c r="AT40" s="758">
        <v>0</v>
      </c>
      <c r="AU40" s="1052">
        <v>0</v>
      </c>
      <c r="AV40" s="273">
        <v>0</v>
      </c>
      <c r="AW40" s="273"/>
      <c r="AX40" s="597" t="s">
        <v>3</v>
      </c>
    </row>
    <row r="41" spans="1:50" ht="13.5" outlineLevel="1" thickBot="1">
      <c r="A41" s="182"/>
      <c r="B41" s="182"/>
      <c r="C41" s="124">
        <v>238</v>
      </c>
      <c r="D41" s="917"/>
      <c r="E41" s="22" t="s">
        <v>139</v>
      </c>
      <c r="F41" s="27" t="s">
        <v>140</v>
      </c>
      <c r="G41" s="27" t="s">
        <v>34</v>
      </c>
      <c r="H41" s="31" t="s">
        <v>92</v>
      </c>
      <c r="I41" s="1032" t="s">
        <v>1</v>
      </c>
      <c r="J41" s="36" t="s">
        <v>142</v>
      </c>
      <c r="K41" s="36" t="s">
        <v>142</v>
      </c>
      <c r="L41" s="837"/>
      <c r="M41" s="805">
        <f>RBJP!BA41</f>
        <v>0</v>
      </c>
      <c r="N41" s="805">
        <f>RBJP!BC41</f>
        <v>0</v>
      </c>
      <c r="O41" s="805">
        <f>RBJP!BD41</f>
        <v>0</v>
      </c>
      <c r="P41" s="843"/>
      <c r="Q41" s="806"/>
      <c r="R41" s="806"/>
      <c r="S41" s="807">
        <f>RBJP!BE41</f>
        <v>0</v>
      </c>
      <c r="T41" s="797" t="str">
        <f>RBJP!BH41</f>
        <v>-</v>
      </c>
      <c r="U41" s="806"/>
      <c r="V41" s="806"/>
      <c r="W41" s="842">
        <v>43388</v>
      </c>
      <c r="X41" s="842"/>
      <c r="Y41" s="842">
        <v>43419</v>
      </c>
      <c r="Z41" s="34">
        <v>12</v>
      </c>
      <c r="AA41" s="103" t="str">
        <f t="shared" si="0"/>
        <v/>
      </c>
      <c r="AB41" s="104" t="str">
        <f t="shared" ref="AB41:AR41" si="38">IF(AND($W41&lt;=AB$3,$W41&gt;AB$3-(AB$3-AA$3)),"SOP",IF(AND($Y41&lt;=AB$3,($Y41+$Z41*31)&gt;=AB$3),"X",""))</f>
        <v/>
      </c>
      <c r="AC41" s="104" t="str">
        <f t="shared" si="38"/>
        <v/>
      </c>
      <c r="AD41" s="104" t="str">
        <f t="shared" si="38"/>
        <v/>
      </c>
      <c r="AE41" s="104" t="str">
        <f t="shared" si="38"/>
        <v/>
      </c>
      <c r="AF41" s="104" t="str">
        <f t="shared" si="38"/>
        <v/>
      </c>
      <c r="AG41" s="104" t="str">
        <f t="shared" si="38"/>
        <v/>
      </c>
      <c r="AH41" s="104" t="str">
        <f t="shared" si="38"/>
        <v/>
      </c>
      <c r="AI41" s="104" t="str">
        <f t="shared" si="38"/>
        <v/>
      </c>
      <c r="AJ41" s="104" t="str">
        <f t="shared" si="38"/>
        <v/>
      </c>
      <c r="AK41" s="104" t="str">
        <f t="shared" si="38"/>
        <v/>
      </c>
      <c r="AL41" s="105" t="str">
        <f t="shared" si="38"/>
        <v/>
      </c>
      <c r="AM41" s="103" t="str">
        <f t="shared" si="38"/>
        <v/>
      </c>
      <c r="AN41" s="104" t="str">
        <f t="shared" si="38"/>
        <v/>
      </c>
      <c r="AO41" s="104" t="str">
        <f t="shared" si="38"/>
        <v/>
      </c>
      <c r="AP41" s="104" t="str">
        <f t="shared" si="38"/>
        <v/>
      </c>
      <c r="AQ41" s="104" t="str">
        <f t="shared" si="38"/>
        <v/>
      </c>
      <c r="AR41" s="260" t="str">
        <f t="shared" si="38"/>
        <v/>
      </c>
      <c r="AS41" s="755"/>
      <c r="AT41" s="758">
        <v>0</v>
      </c>
      <c r="AU41" s="1052">
        <v>0</v>
      </c>
      <c r="AV41" s="273">
        <v>0</v>
      </c>
      <c r="AW41" s="273"/>
      <c r="AX41" s="597" t="s">
        <v>3</v>
      </c>
    </row>
    <row r="42" spans="1:50" s="9" customFormat="1" ht="13.5" outlineLevel="1" thickBot="1">
      <c r="A42" s="181"/>
      <c r="B42" s="181"/>
      <c r="C42" s="43">
        <v>241</v>
      </c>
      <c r="D42" s="927"/>
      <c r="E42" s="173" t="s">
        <v>139</v>
      </c>
      <c r="F42" s="146" t="s">
        <v>143</v>
      </c>
      <c r="G42" s="146" t="s">
        <v>45</v>
      </c>
      <c r="H42" s="147" t="s">
        <v>35</v>
      </c>
      <c r="I42" s="1034" t="s">
        <v>1</v>
      </c>
      <c r="J42" s="37" t="s">
        <v>142</v>
      </c>
      <c r="K42" s="37" t="s">
        <v>142</v>
      </c>
      <c r="L42" s="844"/>
      <c r="M42" s="829">
        <f>RBJP!BA42</f>
        <v>0</v>
      </c>
      <c r="N42" s="829">
        <f>RBJP!BC42</f>
        <v>0</v>
      </c>
      <c r="O42" s="829">
        <f>RBJP!BD42</f>
        <v>0</v>
      </c>
      <c r="P42" s="838"/>
      <c r="Q42" s="845"/>
      <c r="R42" s="845"/>
      <c r="S42" s="803">
        <f>RBJP!BE42</f>
        <v>0</v>
      </c>
      <c r="T42" s="797" t="str">
        <f>RBJP!BH42</f>
        <v>-</v>
      </c>
      <c r="U42" s="845"/>
      <c r="V42" s="845"/>
      <c r="W42" s="842">
        <v>43388</v>
      </c>
      <c r="X42" s="842"/>
      <c r="Y42" s="842">
        <v>43419</v>
      </c>
      <c r="Z42" s="153">
        <v>12</v>
      </c>
      <c r="AA42" s="149" t="str">
        <f t="shared" si="0"/>
        <v/>
      </c>
      <c r="AB42" s="150" t="str">
        <f t="shared" ref="AB42:AR42" si="39">IF(AND($W42&lt;=AB$3,$W42&gt;AB$3-(AB$3-AA$3)),"SOP",IF(AND($Y42&lt;=AB$3,($Y42+$Z42*31)&gt;=AB$3),"X",""))</f>
        <v/>
      </c>
      <c r="AC42" s="150" t="str">
        <f t="shared" si="39"/>
        <v/>
      </c>
      <c r="AD42" s="150" t="str">
        <f t="shared" si="39"/>
        <v/>
      </c>
      <c r="AE42" s="150" t="str">
        <f t="shared" si="39"/>
        <v/>
      </c>
      <c r="AF42" s="150" t="str">
        <f t="shared" si="39"/>
        <v/>
      </c>
      <c r="AG42" s="150" t="str">
        <f t="shared" si="39"/>
        <v/>
      </c>
      <c r="AH42" s="150" t="str">
        <f t="shared" si="39"/>
        <v/>
      </c>
      <c r="AI42" s="150" t="str">
        <f t="shared" si="39"/>
        <v/>
      </c>
      <c r="AJ42" s="150" t="str">
        <f t="shared" si="39"/>
        <v/>
      </c>
      <c r="AK42" s="150" t="str">
        <f t="shared" si="39"/>
        <v/>
      </c>
      <c r="AL42" s="151" t="str">
        <f t="shared" si="39"/>
        <v/>
      </c>
      <c r="AM42" s="149" t="str">
        <f t="shared" si="39"/>
        <v/>
      </c>
      <c r="AN42" s="150" t="str">
        <f t="shared" si="39"/>
        <v/>
      </c>
      <c r="AO42" s="150" t="str">
        <f t="shared" si="39"/>
        <v/>
      </c>
      <c r="AP42" s="150" t="str">
        <f t="shared" si="39"/>
        <v/>
      </c>
      <c r="AQ42" s="150" t="str">
        <f t="shared" si="39"/>
        <v/>
      </c>
      <c r="AR42" s="750" t="str">
        <f t="shared" si="39"/>
        <v/>
      </c>
      <c r="AS42" s="756"/>
      <c r="AT42" s="758">
        <v>0</v>
      </c>
      <c r="AU42" s="1052">
        <v>0</v>
      </c>
      <c r="AV42" s="288">
        <v>0</v>
      </c>
      <c r="AW42" s="288"/>
      <c r="AX42" s="598" t="s">
        <v>3</v>
      </c>
    </row>
    <row r="43" spans="1:50" ht="14.1" customHeight="1" thickBot="1">
      <c r="A43" s="182"/>
      <c r="B43" s="182"/>
      <c r="C43" s="129">
        <v>177</v>
      </c>
      <c r="D43" s="918"/>
      <c r="E43" s="22" t="s">
        <v>144</v>
      </c>
      <c r="F43" s="138" t="s">
        <v>145</v>
      </c>
      <c r="G43" s="27" t="s">
        <v>45</v>
      </c>
      <c r="H43" s="31" t="s">
        <v>46</v>
      </c>
      <c r="I43" s="1032" t="s">
        <v>36</v>
      </c>
      <c r="J43" s="33" t="s">
        <v>48</v>
      </c>
      <c r="K43" s="33" t="s">
        <v>49</v>
      </c>
      <c r="L43" s="790">
        <v>41884</v>
      </c>
      <c r="M43" s="791">
        <f>RBJP!BA43</f>
        <v>42928</v>
      </c>
      <c r="N43" s="815">
        <f>RBJP!BC43</f>
        <v>0</v>
      </c>
      <c r="O43" s="815">
        <f>RBJP!BD43</f>
        <v>0</v>
      </c>
      <c r="P43" s="792">
        <v>41887</v>
      </c>
      <c r="Q43" s="809"/>
      <c r="R43" s="799"/>
      <c r="S43" s="816">
        <f>RBJP!BE43</f>
        <v>0</v>
      </c>
      <c r="T43" s="797">
        <f>RBJP!BH43</f>
        <v>0</v>
      </c>
      <c r="U43" s="799"/>
      <c r="V43" s="799"/>
      <c r="W43" s="799" t="s">
        <v>128</v>
      </c>
      <c r="X43" s="799"/>
      <c r="Y43" s="799" t="s">
        <v>128</v>
      </c>
      <c r="Z43" s="34">
        <v>3</v>
      </c>
      <c r="AA43" s="103" t="e">
        <f t="shared" si="0"/>
        <v>#VALUE!</v>
      </c>
      <c r="AB43" s="104" t="e">
        <f t="shared" ref="AB43:AR43" si="40">IF(AND($W43&lt;=AB$3,$W43&gt;AB$3-(AB$3-AA$3)),"SOP",IF(AND($Y43&lt;=AB$3,($Y43+$Z43*31)&gt;=AB$3),"X",""))</f>
        <v>#VALUE!</v>
      </c>
      <c r="AC43" s="104" t="e">
        <f t="shared" si="40"/>
        <v>#VALUE!</v>
      </c>
      <c r="AD43" s="104" t="e">
        <f t="shared" si="40"/>
        <v>#VALUE!</v>
      </c>
      <c r="AE43" s="104" t="e">
        <f t="shared" si="40"/>
        <v>#VALUE!</v>
      </c>
      <c r="AF43" s="104" t="e">
        <f t="shared" si="40"/>
        <v>#VALUE!</v>
      </c>
      <c r="AG43" s="104" t="e">
        <f t="shared" si="40"/>
        <v>#VALUE!</v>
      </c>
      <c r="AH43" s="104" t="e">
        <f t="shared" si="40"/>
        <v>#VALUE!</v>
      </c>
      <c r="AI43" s="104" t="e">
        <f t="shared" si="40"/>
        <v>#VALUE!</v>
      </c>
      <c r="AJ43" s="104" t="e">
        <f t="shared" si="40"/>
        <v>#VALUE!</v>
      </c>
      <c r="AK43" s="104" t="e">
        <f t="shared" si="40"/>
        <v>#VALUE!</v>
      </c>
      <c r="AL43" s="105" t="e">
        <f t="shared" si="40"/>
        <v>#VALUE!</v>
      </c>
      <c r="AM43" s="104" t="e">
        <f t="shared" si="40"/>
        <v>#VALUE!</v>
      </c>
      <c r="AN43" s="104" t="e">
        <f t="shared" si="40"/>
        <v>#VALUE!</v>
      </c>
      <c r="AO43" s="104" t="e">
        <f t="shared" si="40"/>
        <v>#VALUE!</v>
      </c>
      <c r="AP43" s="104" t="e">
        <f t="shared" si="40"/>
        <v>#VALUE!</v>
      </c>
      <c r="AQ43" s="104" t="e">
        <f t="shared" si="40"/>
        <v>#VALUE!</v>
      </c>
      <c r="AR43" s="260" t="e">
        <f t="shared" si="40"/>
        <v>#VALUE!</v>
      </c>
      <c r="AS43" s="966"/>
      <c r="AT43" s="644" t="s">
        <v>119</v>
      </c>
      <c r="AU43" s="1029" t="s">
        <v>394</v>
      </c>
      <c r="AV43" s="341"/>
      <c r="AW43" s="275"/>
      <c r="AX43" s="597" t="s">
        <v>3</v>
      </c>
    </row>
    <row r="44" spans="1:50" s="9" customFormat="1" ht="14.1" customHeight="1" outlineLevel="1" thickBot="1">
      <c r="A44" s="181"/>
      <c r="B44" s="181"/>
      <c r="C44" s="125">
        <v>261</v>
      </c>
      <c r="D44" s="920"/>
      <c r="E44" s="173" t="s">
        <v>144</v>
      </c>
      <c r="F44" s="289" t="s">
        <v>146</v>
      </c>
      <c r="G44" s="146" t="s">
        <v>45</v>
      </c>
      <c r="H44" s="147" t="s">
        <v>46</v>
      </c>
      <c r="I44" s="1040" t="s">
        <v>47</v>
      </c>
      <c r="J44" s="32" t="s">
        <v>48</v>
      </c>
      <c r="K44" s="32" t="s">
        <v>49</v>
      </c>
      <c r="L44" s="846">
        <v>41884</v>
      </c>
      <c r="M44" s="801">
        <f>RBJP!BA44</f>
        <v>42928</v>
      </c>
      <c r="N44" s="847">
        <f>RBJP!BC44</f>
        <v>0</v>
      </c>
      <c r="O44" s="847">
        <f>RBJP!BD44</f>
        <v>0</v>
      </c>
      <c r="P44" s="786">
        <v>41887</v>
      </c>
      <c r="Q44" s="802"/>
      <c r="R44" s="848"/>
      <c r="S44" s="789">
        <f>RBJP!BE44</f>
        <v>0</v>
      </c>
      <c r="T44" s="804">
        <f>RBJP!BH44</f>
        <v>0</v>
      </c>
      <c r="U44" s="848"/>
      <c r="V44" s="848"/>
      <c r="W44" s="848" t="s">
        <v>128</v>
      </c>
      <c r="X44" s="848"/>
      <c r="Y44" s="848" t="s">
        <v>128</v>
      </c>
      <c r="Z44" s="153">
        <v>3</v>
      </c>
      <c r="AA44" s="149" t="e">
        <f t="shared" si="0"/>
        <v>#VALUE!</v>
      </c>
      <c r="AB44" s="150" t="e">
        <f t="shared" ref="AB44:AR44" si="41">IF(AND($W44&lt;=AB$3,$W44&gt;AB$3-(AB$3-AA$3)),"SOP",IF(AND($Y44&lt;=AB$3,($Y44+$Z44*31)&gt;=AB$3),"X",""))</f>
        <v>#VALUE!</v>
      </c>
      <c r="AC44" s="150" t="e">
        <f t="shared" si="41"/>
        <v>#VALUE!</v>
      </c>
      <c r="AD44" s="150" t="e">
        <f t="shared" si="41"/>
        <v>#VALUE!</v>
      </c>
      <c r="AE44" s="150" t="e">
        <f t="shared" si="41"/>
        <v>#VALUE!</v>
      </c>
      <c r="AF44" s="150" t="e">
        <f t="shared" si="41"/>
        <v>#VALUE!</v>
      </c>
      <c r="AG44" s="149" t="e">
        <f t="shared" si="41"/>
        <v>#VALUE!</v>
      </c>
      <c r="AH44" s="150" t="e">
        <f t="shared" si="41"/>
        <v>#VALUE!</v>
      </c>
      <c r="AI44" s="150" t="e">
        <f t="shared" si="41"/>
        <v>#VALUE!</v>
      </c>
      <c r="AJ44" s="150" t="e">
        <f t="shared" si="41"/>
        <v>#VALUE!</v>
      </c>
      <c r="AK44" s="150" t="e">
        <f t="shared" si="41"/>
        <v>#VALUE!</v>
      </c>
      <c r="AL44" s="263" t="e">
        <f t="shared" si="41"/>
        <v>#VALUE!</v>
      </c>
      <c r="AM44" s="149" t="e">
        <f t="shared" si="41"/>
        <v>#VALUE!</v>
      </c>
      <c r="AN44" s="150" t="e">
        <f t="shared" si="41"/>
        <v>#VALUE!</v>
      </c>
      <c r="AO44" s="150" t="e">
        <f t="shared" si="41"/>
        <v>#VALUE!</v>
      </c>
      <c r="AP44" s="150" t="e">
        <f t="shared" si="41"/>
        <v>#VALUE!</v>
      </c>
      <c r="AQ44" s="150" t="e">
        <f t="shared" si="41"/>
        <v>#VALUE!</v>
      </c>
      <c r="AR44" s="753" t="e">
        <f t="shared" si="41"/>
        <v>#VALUE!</v>
      </c>
      <c r="AS44" s="967"/>
      <c r="AT44" s="644" t="s">
        <v>119</v>
      </c>
      <c r="AU44" s="1029" t="s">
        <v>403</v>
      </c>
      <c r="AV44" s="341"/>
      <c r="AW44" s="272"/>
      <c r="AX44" s="598" t="s">
        <v>3</v>
      </c>
    </row>
    <row r="45" spans="1:50" ht="13.5" thickBot="1">
      <c r="A45" s="182"/>
      <c r="B45" s="182"/>
      <c r="C45" s="764">
        <v>343</v>
      </c>
      <c r="D45" s="928"/>
      <c r="E45" s="765" t="s">
        <v>147</v>
      </c>
      <c r="F45" s="766" t="s">
        <v>148</v>
      </c>
      <c r="G45" s="767" t="s">
        <v>34</v>
      </c>
      <c r="H45" s="768" t="s">
        <v>149</v>
      </c>
      <c r="I45" s="1041" t="s">
        <v>36</v>
      </c>
      <c r="J45" s="41" t="s">
        <v>150</v>
      </c>
      <c r="K45" s="41" t="s">
        <v>151</v>
      </c>
      <c r="L45" s="947" t="s">
        <v>128</v>
      </c>
      <c r="M45" s="849">
        <f>RBJP!BA45</f>
        <v>0</v>
      </c>
      <c r="N45" s="849">
        <f>RBJP!BC45</f>
        <v>0</v>
      </c>
      <c r="O45" s="849">
        <f>RBJP!BD45</f>
        <v>0</v>
      </c>
      <c r="P45" s="948" t="s">
        <v>128</v>
      </c>
      <c r="Q45" s="850" t="s">
        <v>128</v>
      </c>
      <c r="R45" s="850" t="s">
        <v>128</v>
      </c>
      <c r="S45" s="851">
        <f>RBJP!BE45</f>
        <v>0</v>
      </c>
      <c r="T45" s="795">
        <f>RBJP!BH45</f>
        <v>0</v>
      </c>
      <c r="U45" s="850" t="s">
        <v>128</v>
      </c>
      <c r="V45" s="850"/>
      <c r="W45" s="850" t="s">
        <v>128</v>
      </c>
      <c r="X45" s="850"/>
      <c r="Y45" s="850" t="s">
        <v>128</v>
      </c>
      <c r="Z45" s="769">
        <v>3</v>
      </c>
      <c r="AA45" s="103" t="e">
        <f t="shared" si="0"/>
        <v>#VALUE!</v>
      </c>
      <c r="AB45" s="104" t="e">
        <f t="shared" ref="AB45:AR45" si="42">IF(AND($W45&lt;=AB$3,$W45&gt;AB$3-(AB$3-AA$3)),"SOP",IF(AND($Y45&lt;=AB$3,($Y45+$Z45*31)&gt;=AB$3),"X",""))</f>
        <v>#VALUE!</v>
      </c>
      <c r="AC45" s="104" t="e">
        <f t="shared" si="42"/>
        <v>#VALUE!</v>
      </c>
      <c r="AD45" s="104" t="e">
        <f t="shared" si="42"/>
        <v>#VALUE!</v>
      </c>
      <c r="AE45" s="104" t="e">
        <f t="shared" si="42"/>
        <v>#VALUE!</v>
      </c>
      <c r="AF45" s="104" t="e">
        <f t="shared" si="42"/>
        <v>#VALUE!</v>
      </c>
      <c r="AG45" s="104" t="e">
        <f t="shared" si="42"/>
        <v>#VALUE!</v>
      </c>
      <c r="AH45" s="104" t="e">
        <f t="shared" si="42"/>
        <v>#VALUE!</v>
      </c>
      <c r="AI45" s="104" t="e">
        <f t="shared" si="42"/>
        <v>#VALUE!</v>
      </c>
      <c r="AJ45" s="104" t="e">
        <f t="shared" si="42"/>
        <v>#VALUE!</v>
      </c>
      <c r="AK45" s="104" t="e">
        <f t="shared" si="42"/>
        <v>#VALUE!</v>
      </c>
      <c r="AL45" s="281" t="e">
        <f t="shared" si="42"/>
        <v>#VALUE!</v>
      </c>
      <c r="AM45" s="155" t="e">
        <f t="shared" si="42"/>
        <v>#VALUE!</v>
      </c>
      <c r="AN45" s="104" t="e">
        <f t="shared" si="42"/>
        <v>#VALUE!</v>
      </c>
      <c r="AO45" s="104" t="e">
        <f t="shared" si="42"/>
        <v>#VALUE!</v>
      </c>
      <c r="AP45" s="104" t="e">
        <f t="shared" si="42"/>
        <v>#VALUE!</v>
      </c>
      <c r="AQ45" s="104" t="e">
        <f t="shared" si="42"/>
        <v>#VALUE!</v>
      </c>
      <c r="AR45" s="260" t="e">
        <f t="shared" si="42"/>
        <v>#VALUE!</v>
      </c>
      <c r="AS45" s="770"/>
      <c r="AT45" s="771" t="s">
        <v>87</v>
      </c>
      <c r="AU45" s="900" t="s">
        <v>374</v>
      </c>
      <c r="AV45" s="275">
        <v>0</v>
      </c>
      <c r="AW45" s="271"/>
      <c r="AX45" s="597" t="s">
        <v>3</v>
      </c>
    </row>
    <row r="46" spans="1:50" s="9" customFormat="1" ht="14.1" customHeight="1" thickBot="1">
      <c r="A46" s="181"/>
      <c r="B46" s="181"/>
      <c r="C46" s="896">
        <v>340</v>
      </c>
      <c r="D46" s="920" t="s">
        <v>31</v>
      </c>
      <c r="E46" s="126" t="s">
        <v>147</v>
      </c>
      <c r="F46" s="279" t="s">
        <v>152</v>
      </c>
      <c r="G46" s="146" t="s">
        <v>34</v>
      </c>
      <c r="H46" s="147" t="s">
        <v>35</v>
      </c>
      <c r="I46" s="711" t="s">
        <v>41</v>
      </c>
      <c r="J46" s="107" t="s">
        <v>151</v>
      </c>
      <c r="K46" s="107" t="s">
        <v>151</v>
      </c>
      <c r="L46" s="852">
        <v>42852</v>
      </c>
      <c r="M46" s="801" t="str">
        <f>RBJP!BA46</f>
        <v>done</v>
      </c>
      <c r="N46" s="801">
        <f>RBJP!BC46</f>
        <v>42977</v>
      </c>
      <c r="O46" s="810">
        <f>RBJP!BD46</f>
        <v>42992</v>
      </c>
      <c r="P46" s="786">
        <v>43013</v>
      </c>
      <c r="Q46" s="787">
        <v>43039</v>
      </c>
      <c r="R46" s="787">
        <v>43059</v>
      </c>
      <c r="S46" s="901">
        <f>RBJP!BE46</f>
        <v>43061</v>
      </c>
      <c r="T46" s="804">
        <f>RBJP!BH46</f>
        <v>43059</v>
      </c>
      <c r="U46" s="787">
        <v>43083</v>
      </c>
      <c r="V46" s="802"/>
      <c r="W46" s="787">
        <v>43110</v>
      </c>
      <c r="X46" s="802"/>
      <c r="Y46" s="802" t="s">
        <v>63</v>
      </c>
      <c r="Z46" s="153">
        <v>3</v>
      </c>
      <c r="AA46" s="149"/>
      <c r="AB46" s="150"/>
      <c r="AC46" s="150"/>
      <c r="AD46" s="150"/>
      <c r="AE46" s="150"/>
      <c r="AF46" s="150"/>
      <c r="AG46" s="150"/>
      <c r="AH46" s="150"/>
      <c r="AI46" s="150"/>
      <c r="AJ46" s="150"/>
      <c r="AK46" s="150"/>
      <c r="AL46" s="263" t="e">
        <f>IF(AND($W46&lt;=AL$3,$W46&gt;AL$3-(AL$3-AK$3)),"SOP",IF(AND($Y46&lt;=AL$3,($Y46+$Z46*31)&gt;=AL$3),"X",""))</f>
        <v>#VALUE!</v>
      </c>
      <c r="AM46" s="264"/>
      <c r="AN46" s="284"/>
      <c r="AO46" s="285"/>
      <c r="AP46" s="150"/>
      <c r="AQ46" s="150"/>
      <c r="AR46" s="750"/>
      <c r="AS46" s="967"/>
      <c r="AT46" s="758" t="s">
        <v>87</v>
      </c>
      <c r="AU46" s="907" t="s">
        <v>426</v>
      </c>
      <c r="AV46" s="308"/>
      <c r="AW46" s="350"/>
      <c r="AX46" s="598" t="s">
        <v>3</v>
      </c>
    </row>
    <row r="47" spans="1:50" s="26" customFormat="1" ht="51.75" thickBot="1">
      <c r="A47" s="184"/>
      <c r="B47" s="184"/>
      <c r="C47" s="142">
        <v>30</v>
      </c>
      <c r="D47" s="925">
        <v>42998</v>
      </c>
      <c r="E47" s="1081" t="s">
        <v>153</v>
      </c>
      <c r="F47" s="47" t="s">
        <v>154</v>
      </c>
      <c r="G47" s="134" t="s">
        <v>45</v>
      </c>
      <c r="H47" s="188" t="s">
        <v>155</v>
      </c>
      <c r="I47" s="1082" t="s">
        <v>41</v>
      </c>
      <c r="J47" s="1083" t="s">
        <v>128</v>
      </c>
      <c r="K47" s="1083" t="s">
        <v>156</v>
      </c>
      <c r="L47" s="856">
        <v>41843</v>
      </c>
      <c r="M47" s="835">
        <f>RBJP!BA47</f>
        <v>0</v>
      </c>
      <c r="N47" s="835">
        <f>RBJP!BC47</f>
        <v>0</v>
      </c>
      <c r="O47" s="835">
        <f>RBJP!BD47</f>
        <v>0</v>
      </c>
      <c r="P47" s="1084">
        <v>41859</v>
      </c>
      <c r="Q47" s="835"/>
      <c r="R47" s="824"/>
      <c r="S47" s="825">
        <f>RBJP!BE47</f>
        <v>0</v>
      </c>
      <c r="T47" s="1085" t="str">
        <f>RBJP!BH47</f>
        <v>tbd</v>
      </c>
      <c r="U47" s="824"/>
      <c r="V47" s="824"/>
      <c r="W47" s="824" t="s">
        <v>128</v>
      </c>
      <c r="X47" s="824"/>
      <c r="Y47" s="824" t="s">
        <v>128</v>
      </c>
      <c r="Z47" s="135">
        <v>3</v>
      </c>
      <c r="AA47" s="136" t="e">
        <f>IF(AND($W47&lt;=AA$3,$W47&gt;AA$3-(AA$3-(AA$3-31))),"SOP",IF(AND($Y47&lt;=AA$3,($Y47+$Z47*31)&gt;=AA$3),"X",""))</f>
        <v>#VALUE!</v>
      </c>
      <c r="AB47" s="117" t="e">
        <f t="shared" ref="AB47:AK47" si="43">IF(AND($W47&lt;=AB$3,$W47&gt;AB$3-(AB$3-AA$3)),"SOP",IF(AND($Y47&lt;=AB$3,($Y47+$Z47*31)&gt;=AB$3),"X",""))</f>
        <v>#VALUE!</v>
      </c>
      <c r="AC47" s="117" t="e">
        <f t="shared" si="43"/>
        <v>#VALUE!</v>
      </c>
      <c r="AD47" s="117" t="e">
        <f t="shared" si="43"/>
        <v>#VALUE!</v>
      </c>
      <c r="AE47" s="117" t="e">
        <f t="shared" si="43"/>
        <v>#VALUE!</v>
      </c>
      <c r="AF47" s="117" t="e">
        <f t="shared" si="43"/>
        <v>#VALUE!</v>
      </c>
      <c r="AG47" s="117" t="e">
        <f t="shared" si="43"/>
        <v>#VALUE!</v>
      </c>
      <c r="AH47" s="117" t="e">
        <f t="shared" si="43"/>
        <v>#VALUE!</v>
      </c>
      <c r="AI47" s="117" t="e">
        <f t="shared" si="43"/>
        <v>#VALUE!</v>
      </c>
      <c r="AJ47" s="117" t="e">
        <f t="shared" si="43"/>
        <v>#VALUE!</v>
      </c>
      <c r="AK47" s="117" t="e">
        <f t="shared" si="43"/>
        <v>#VALUE!</v>
      </c>
      <c r="AL47" s="118" t="e">
        <f>IF(AND($W47&lt;=AL$3,$W47&gt;AL$3-(AL$3-AK$3)),"SOP",IF(AND($Y47&lt;=AL$3,($Y47+$Z47*31)&gt;=AL$3),"X",""))</f>
        <v>#VALUE!</v>
      </c>
      <c r="AM47" s="136" t="e">
        <f t="shared" ref="AM47:AR48" si="44">IF(AND($W47&lt;=AM$3,$W47&gt;AM$3-(AM$3-AL$3)),"SOP",IF(AND($Y47&lt;=AM$3,($Y47+$Z47*31)&gt;=AM$3),"X",""))</f>
        <v>#VALUE!</v>
      </c>
      <c r="AN47" s="117" t="e">
        <f t="shared" si="44"/>
        <v>#VALUE!</v>
      </c>
      <c r="AO47" s="117" t="e">
        <f t="shared" si="44"/>
        <v>#VALUE!</v>
      </c>
      <c r="AP47" s="117" t="e">
        <f t="shared" si="44"/>
        <v>#VALUE!</v>
      </c>
      <c r="AQ47" s="117" t="e">
        <f t="shared" si="44"/>
        <v>#VALUE!</v>
      </c>
      <c r="AR47" s="261" t="e">
        <f t="shared" si="44"/>
        <v>#VALUE!</v>
      </c>
      <c r="AS47" s="759"/>
      <c r="AT47" s="642">
        <v>0</v>
      </c>
      <c r="AU47" s="1101" t="s">
        <v>453</v>
      </c>
      <c r="AV47" s="309" t="s">
        <v>104</v>
      </c>
      <c r="AW47" s="276"/>
      <c r="AX47" s="600" t="s">
        <v>3</v>
      </c>
    </row>
    <row r="48" spans="1:50" s="141" customFormat="1" ht="51.75" thickBot="1">
      <c r="A48" s="185"/>
      <c r="B48" s="185"/>
      <c r="C48" s="139">
        <v>31</v>
      </c>
      <c r="D48" s="1086">
        <v>42998</v>
      </c>
      <c r="E48" s="1087" t="s">
        <v>157</v>
      </c>
      <c r="F48" s="140" t="s">
        <v>158</v>
      </c>
      <c r="G48" s="167" t="s">
        <v>45</v>
      </c>
      <c r="H48" s="168" t="s">
        <v>159</v>
      </c>
      <c r="I48" s="1088" t="s">
        <v>41</v>
      </c>
      <c r="J48" s="1089" t="s">
        <v>128</v>
      </c>
      <c r="K48" s="1089" t="s">
        <v>156</v>
      </c>
      <c r="L48" s="1090">
        <v>41843</v>
      </c>
      <c r="M48" s="834">
        <f>RBJP!BA48</f>
        <v>0</v>
      </c>
      <c r="N48" s="834">
        <f>RBJP!BC48</f>
        <v>0</v>
      </c>
      <c r="O48" s="834">
        <f>RBJP!BD48</f>
        <v>0</v>
      </c>
      <c r="P48" s="1091">
        <v>41859</v>
      </c>
      <c r="Q48" s="834"/>
      <c r="R48" s="897"/>
      <c r="S48" s="898">
        <f>RBJP!BE48</f>
        <v>0</v>
      </c>
      <c r="T48" s="1092" t="str">
        <f>RBJP!BH48</f>
        <v>tbd</v>
      </c>
      <c r="U48" s="897"/>
      <c r="V48" s="897"/>
      <c r="W48" s="897" t="s">
        <v>128</v>
      </c>
      <c r="X48" s="897"/>
      <c r="Y48" s="897" t="s">
        <v>128</v>
      </c>
      <c r="Z48" s="169">
        <v>3</v>
      </c>
      <c r="AA48" s="1093" t="e">
        <f>IF(AND($W48&lt;=AA$3,$W48&gt;AA$3-(AA$3-(AA$3-31))),"SOP",IF(AND($Y48&lt;=AA$3,($Y48+$Z48*31)&gt;=AA$3),"X",""))</f>
        <v>#VALUE!</v>
      </c>
      <c r="AB48" s="1094" t="e">
        <f t="shared" ref="AB48:AK48" si="45">IF(AND($W48&lt;=AB$3,$W48&gt;AB$3-(AB$3-AA$3)),"SOP",IF(AND($Y48&lt;=AB$3,($Y48+$Z48*31)&gt;=AB$3),"X",""))</f>
        <v>#VALUE!</v>
      </c>
      <c r="AC48" s="1094" t="e">
        <f t="shared" si="45"/>
        <v>#VALUE!</v>
      </c>
      <c r="AD48" s="1095" t="e">
        <f t="shared" si="45"/>
        <v>#VALUE!</v>
      </c>
      <c r="AE48" s="1095" t="e">
        <f t="shared" si="45"/>
        <v>#VALUE!</v>
      </c>
      <c r="AF48" s="1095" t="e">
        <f t="shared" si="45"/>
        <v>#VALUE!</v>
      </c>
      <c r="AG48" s="1095" t="e">
        <f t="shared" si="45"/>
        <v>#VALUE!</v>
      </c>
      <c r="AH48" s="1095" t="e">
        <f t="shared" si="45"/>
        <v>#VALUE!</v>
      </c>
      <c r="AI48" s="1095" t="e">
        <f t="shared" si="45"/>
        <v>#VALUE!</v>
      </c>
      <c r="AJ48" s="1094" t="e">
        <f t="shared" si="45"/>
        <v>#VALUE!</v>
      </c>
      <c r="AK48" s="1094" t="e">
        <f t="shared" si="45"/>
        <v>#VALUE!</v>
      </c>
      <c r="AL48" s="1096" t="e">
        <f>IF(AND($W48&lt;=AL$3,$W48&gt;AL$3-(AL$3-AK$3)),"SOP",IF(AND($Y48&lt;=AL$3,($Y48+$Z48*31)&gt;=AL$3),"X",""))</f>
        <v>#VALUE!</v>
      </c>
      <c r="AM48" s="1093" t="e">
        <f t="shared" si="44"/>
        <v>#VALUE!</v>
      </c>
      <c r="AN48" s="1094" t="e">
        <f t="shared" si="44"/>
        <v>#VALUE!</v>
      </c>
      <c r="AO48" s="1094" t="e">
        <f t="shared" si="44"/>
        <v>#VALUE!</v>
      </c>
      <c r="AP48" s="1094" t="e">
        <f t="shared" si="44"/>
        <v>#VALUE!</v>
      </c>
      <c r="AQ48" s="1094" t="e">
        <f t="shared" si="44"/>
        <v>#VALUE!</v>
      </c>
      <c r="AR48" s="1097" t="e">
        <f t="shared" si="44"/>
        <v>#VALUE!</v>
      </c>
      <c r="AS48" s="1098"/>
      <c r="AT48" s="642">
        <v>0</v>
      </c>
      <c r="AU48" s="1101" t="s">
        <v>454</v>
      </c>
      <c r="AV48" s="1099" t="s">
        <v>104</v>
      </c>
      <c r="AW48" s="277"/>
      <c r="AX48" s="1100" t="s">
        <v>3</v>
      </c>
    </row>
    <row r="49" spans="1:50" s="882" customFormat="1" ht="14.1" customHeight="1" thickBot="1">
      <c r="A49" s="183"/>
      <c r="B49" s="183"/>
      <c r="C49" s="1028">
        <v>344</v>
      </c>
      <c r="D49" s="1021" t="s">
        <v>31</v>
      </c>
      <c r="E49" s="879" t="s">
        <v>80</v>
      </c>
      <c r="F49" s="320" t="s">
        <v>317</v>
      </c>
      <c r="G49" s="320" t="s">
        <v>34</v>
      </c>
      <c r="H49" s="158" t="s">
        <v>122</v>
      </c>
      <c r="I49" s="880" t="s">
        <v>99</v>
      </c>
      <c r="J49" s="45"/>
      <c r="K49" s="45" t="s">
        <v>52</v>
      </c>
      <c r="L49" s="935">
        <v>42928</v>
      </c>
      <c r="M49" s="812">
        <f>RBJP!BA49</f>
        <v>42970</v>
      </c>
      <c r="N49" s="812">
        <f>RBJP!BC49</f>
        <v>42978</v>
      </c>
      <c r="O49" s="913">
        <f>RBJP!BD49</f>
        <v>42993</v>
      </c>
      <c r="P49" s="949" t="s">
        <v>377</v>
      </c>
      <c r="Q49" s="950">
        <v>42944</v>
      </c>
      <c r="R49" s="961">
        <v>43063</v>
      </c>
      <c r="S49" s="1020">
        <f>RBJP!BE49</f>
        <v>43067</v>
      </c>
      <c r="T49" s="789">
        <f>RBJP!BH49</f>
        <v>43084</v>
      </c>
      <c r="U49" s="950">
        <v>43096</v>
      </c>
      <c r="V49" s="813"/>
      <c r="W49" s="813">
        <v>43107</v>
      </c>
      <c r="X49" s="813"/>
      <c r="Y49" s="813" t="s">
        <v>63</v>
      </c>
      <c r="Z49" s="162">
        <v>3</v>
      </c>
      <c r="AA49" s="163"/>
      <c r="AB49" s="164"/>
      <c r="AC49" s="164"/>
      <c r="AD49" s="174"/>
      <c r="AE49" s="174"/>
      <c r="AF49" s="164"/>
      <c r="AG49" s="164"/>
      <c r="AH49" s="174"/>
      <c r="AI49" s="174"/>
      <c r="AJ49" s="174"/>
      <c r="AK49" s="174"/>
      <c r="AL49" s="312"/>
      <c r="AM49" s="313" t="str">
        <f t="shared" ref="AM49:AM83" si="46">IF(AND($W49&lt;=AM$3,$W49&gt;AM$3-(AM$3-AL$3)),"SOP",IF(AND($Y49&lt;=AM$3,($Y49+$Z49*31)&gt;=AM$3),"X",""))</f>
        <v>SOP</v>
      </c>
      <c r="AN49" s="164"/>
      <c r="AO49" s="164"/>
      <c r="AP49" s="164"/>
      <c r="AQ49" s="164"/>
      <c r="AR49" s="754"/>
      <c r="AS49" s="968"/>
      <c r="AT49" s="641" t="s">
        <v>53</v>
      </c>
      <c r="AU49" s="912" t="s">
        <v>417</v>
      </c>
      <c r="AV49" s="342"/>
      <c r="AW49" s="351"/>
      <c r="AX49" s="881" t="s">
        <v>3</v>
      </c>
    </row>
    <row r="50" spans="1:50" s="10" customFormat="1" ht="13.5" customHeight="1" thickBot="1">
      <c r="A50" s="183">
        <f>P50</f>
        <v>43146</v>
      </c>
      <c r="B50" s="183"/>
      <c r="C50" s="346">
        <v>290</v>
      </c>
      <c r="D50" s="1104">
        <v>43146</v>
      </c>
      <c r="E50" s="314" t="s">
        <v>80</v>
      </c>
      <c r="F50" s="320" t="s">
        <v>301</v>
      </c>
      <c r="G50" s="157" t="s">
        <v>34</v>
      </c>
      <c r="H50" s="158" t="s">
        <v>46</v>
      </c>
      <c r="I50" s="1077" t="s">
        <v>47</v>
      </c>
      <c r="J50" s="175"/>
      <c r="K50" s="175"/>
      <c r="L50" s="938">
        <v>43140</v>
      </c>
      <c r="M50" s="853">
        <f>RBJP!BA50</f>
        <v>43181</v>
      </c>
      <c r="N50" s="853">
        <f>RBJP!BC50</f>
        <v>43194</v>
      </c>
      <c r="O50" s="853">
        <f>RBJP!BD50</f>
        <v>43194</v>
      </c>
      <c r="P50" s="939">
        <v>43146</v>
      </c>
      <c r="Q50" s="1103">
        <v>43196</v>
      </c>
      <c r="R50" s="1105">
        <v>43224</v>
      </c>
      <c r="S50" s="814">
        <f>RBJP!BE50</f>
        <v>43248</v>
      </c>
      <c r="T50" s="789">
        <f>RBJP!BH50</f>
        <v>0</v>
      </c>
      <c r="U50" s="1105">
        <v>43262</v>
      </c>
      <c r="V50" s="813"/>
      <c r="W50" s="1105">
        <v>43269</v>
      </c>
      <c r="X50" s="1103">
        <v>43271</v>
      </c>
      <c r="Y50" s="1103">
        <v>43271</v>
      </c>
      <c r="Z50" s="162">
        <v>3</v>
      </c>
      <c r="AA50" s="163" t="str">
        <f t="shared" ref="AA50:AA83" si="47">IF(AND($W50&lt;=AA$3,$W50&gt;AA$3-(AA$3-(AA$3-31))),"SOP",IF(AND($Y50&lt;=AA$3,($Y50+$Z50*31)&gt;=AA$3),"X",""))</f>
        <v/>
      </c>
      <c r="AB50" s="164" t="str">
        <f t="shared" ref="AB50:AL50" si="48">IF(AND($W50&lt;=AB$3,$W50&gt;AB$3-(AB$3-AA$3)),"SOP",IF(AND($Y50&lt;=AB$3,($Y50+$Z50*31)&gt;=AB$3),"X",""))</f>
        <v/>
      </c>
      <c r="AC50" s="164" t="str">
        <f t="shared" si="48"/>
        <v/>
      </c>
      <c r="AD50" s="174" t="str">
        <f t="shared" si="48"/>
        <v/>
      </c>
      <c r="AE50" s="174" t="str">
        <f t="shared" si="48"/>
        <v/>
      </c>
      <c r="AF50" s="174" t="str">
        <f t="shared" si="48"/>
        <v/>
      </c>
      <c r="AG50" s="174" t="str">
        <f t="shared" si="48"/>
        <v/>
      </c>
      <c r="AH50" s="174" t="str">
        <f t="shared" si="48"/>
        <v/>
      </c>
      <c r="AI50" s="174" t="str">
        <f t="shared" si="48"/>
        <v/>
      </c>
      <c r="AJ50" s="174" t="str">
        <f t="shared" si="48"/>
        <v/>
      </c>
      <c r="AK50" s="164" t="str">
        <f t="shared" si="48"/>
        <v/>
      </c>
      <c r="AL50" s="165" t="str">
        <f t="shared" si="48"/>
        <v/>
      </c>
      <c r="AM50" s="311" t="str">
        <f t="shared" si="46"/>
        <v/>
      </c>
      <c r="AN50" s="163" t="str">
        <f t="shared" ref="AN50:AR59" si="49">IF(AND($W50&lt;=AN$3,$W50&gt;AN$3-(AN$3-AM$3)),"SOP",IF(AND($Y50&lt;=AN$3,($Y50+$Z50*31)&gt;=AN$3),"X",""))</f>
        <v/>
      </c>
      <c r="AO50" s="164" t="str">
        <f t="shared" si="49"/>
        <v/>
      </c>
      <c r="AP50" s="164" t="str">
        <f t="shared" si="49"/>
        <v/>
      </c>
      <c r="AQ50" s="164" t="str">
        <f t="shared" si="49"/>
        <v/>
      </c>
      <c r="AR50" s="754" t="str">
        <f t="shared" si="49"/>
        <v>SOP</v>
      </c>
      <c r="AS50" s="968"/>
      <c r="AT50" s="644" t="s">
        <v>347</v>
      </c>
      <c r="AU50" s="892" t="s">
        <v>491</v>
      </c>
      <c r="AV50" s="342" t="s">
        <v>316</v>
      </c>
      <c r="AW50" s="352"/>
      <c r="AX50" s="599" t="s">
        <v>3</v>
      </c>
    </row>
    <row r="51" spans="1:50" ht="14.1" customHeight="1" thickBot="1">
      <c r="A51" s="182"/>
      <c r="B51" s="182"/>
      <c r="C51" s="108">
        <v>421</v>
      </c>
      <c r="D51" s="917" t="s">
        <v>31</v>
      </c>
      <c r="E51" s="131" t="s">
        <v>80</v>
      </c>
      <c r="F51" s="321" t="s">
        <v>366</v>
      </c>
      <c r="G51" s="27" t="s">
        <v>34</v>
      </c>
      <c r="H51" s="31" t="s">
        <v>92</v>
      </c>
      <c r="I51" s="775" t="s">
        <v>99</v>
      </c>
      <c r="J51" s="35"/>
      <c r="K51" s="35"/>
      <c r="L51" s="854">
        <v>42933</v>
      </c>
      <c r="M51" s="791">
        <f>RBJP!BA51</f>
        <v>42950</v>
      </c>
      <c r="N51" s="791">
        <f>RBJP!BC51</f>
        <v>42970</v>
      </c>
      <c r="O51" s="791">
        <f>RBJP!BD51</f>
        <v>42979</v>
      </c>
      <c r="P51" s="855">
        <v>42979</v>
      </c>
      <c r="Q51" s="793">
        <v>43048</v>
      </c>
      <c r="R51" s="793">
        <v>43073</v>
      </c>
      <c r="S51" s="794">
        <f>RBJP!BE51</f>
        <v>43082</v>
      </c>
      <c r="T51" s="795">
        <f>RBJP!BH51</f>
        <v>43059</v>
      </c>
      <c r="U51" s="793">
        <v>43083</v>
      </c>
      <c r="V51" s="809"/>
      <c r="W51" s="793">
        <v>43088</v>
      </c>
      <c r="X51" s="809"/>
      <c r="Y51" s="809"/>
      <c r="Z51" s="34">
        <v>3</v>
      </c>
      <c r="AA51" s="618" t="str">
        <f t="shared" si="47"/>
        <v/>
      </c>
      <c r="AB51" s="104" t="str">
        <f t="shared" ref="AB51:AL51" si="50">IF(AND($W51&lt;=AB$3,$W51&gt;AB$3-(AB$3-AA$3)),"SOP",IF(AND($Y51&lt;=AB$3,($Y51+$Z51*31)&gt;=AB$3),"X",""))</f>
        <v/>
      </c>
      <c r="AC51" s="104" t="str">
        <f t="shared" si="50"/>
        <v/>
      </c>
      <c r="AD51" s="121" t="str">
        <f t="shared" si="50"/>
        <v/>
      </c>
      <c r="AE51" s="121" t="str">
        <f t="shared" si="50"/>
        <v/>
      </c>
      <c r="AF51" s="121" t="str">
        <f t="shared" si="50"/>
        <v/>
      </c>
      <c r="AG51" s="121" t="str">
        <f t="shared" si="50"/>
        <v/>
      </c>
      <c r="AH51" s="121" t="str">
        <f t="shared" si="50"/>
        <v/>
      </c>
      <c r="AI51" s="121" t="str">
        <f t="shared" si="50"/>
        <v/>
      </c>
      <c r="AJ51" s="104" t="str">
        <f t="shared" si="50"/>
        <v/>
      </c>
      <c r="AK51" s="104" t="str">
        <f t="shared" si="50"/>
        <v/>
      </c>
      <c r="AL51" s="105" t="str">
        <f t="shared" si="50"/>
        <v>SOP</v>
      </c>
      <c r="AM51" s="103" t="str">
        <f t="shared" si="46"/>
        <v/>
      </c>
      <c r="AN51" s="104" t="str">
        <f t="shared" si="49"/>
        <v/>
      </c>
      <c r="AO51" s="104" t="str">
        <f t="shared" si="49"/>
        <v/>
      </c>
      <c r="AP51" s="104" t="str">
        <f t="shared" si="49"/>
        <v/>
      </c>
      <c r="AQ51" s="104" t="str">
        <f t="shared" si="49"/>
        <v/>
      </c>
      <c r="AR51" s="260" t="str">
        <f t="shared" si="49"/>
        <v/>
      </c>
      <c r="AS51" s="966"/>
      <c r="AT51" s="641" t="s">
        <v>87</v>
      </c>
      <c r="AU51" s="912" t="s">
        <v>414</v>
      </c>
      <c r="AV51" s="888"/>
      <c r="AW51" s="353"/>
      <c r="AX51" s="601" t="s">
        <v>3</v>
      </c>
    </row>
    <row r="52" spans="1:50" ht="13.5" thickBot="1">
      <c r="A52" s="182"/>
      <c r="B52" s="182"/>
      <c r="C52" s="132">
        <v>450</v>
      </c>
      <c r="D52" s="929"/>
      <c r="E52" s="133" t="s">
        <v>80</v>
      </c>
      <c r="F52" s="134" t="s">
        <v>160</v>
      </c>
      <c r="G52" s="134" t="s">
        <v>68</v>
      </c>
      <c r="H52" s="31" t="s">
        <v>161</v>
      </c>
      <c r="I52" s="1038" t="s">
        <v>112</v>
      </c>
      <c r="J52" s="134"/>
      <c r="K52" s="134"/>
      <c r="L52" s="945"/>
      <c r="M52" s="805">
        <f>RBJP!BA52</f>
        <v>0</v>
      </c>
      <c r="N52" s="805">
        <f>RBJP!BC52</f>
        <v>0</v>
      </c>
      <c r="O52" s="805">
        <f>RBJP!BD52</f>
        <v>0</v>
      </c>
      <c r="P52" s="944"/>
      <c r="Q52" s="824"/>
      <c r="R52" s="835"/>
      <c r="S52" s="807">
        <f>RBJP!BE52</f>
        <v>0</v>
      </c>
      <c r="T52" s="797" t="str">
        <f>RBJP!BH52</f>
        <v>-</v>
      </c>
      <c r="U52" s="835"/>
      <c r="V52" s="835"/>
      <c r="W52" s="835">
        <v>43070</v>
      </c>
      <c r="X52" s="835"/>
      <c r="Y52" s="835">
        <v>43070</v>
      </c>
      <c r="Z52" s="617">
        <v>3</v>
      </c>
      <c r="AA52" s="619" t="str">
        <f t="shared" si="47"/>
        <v/>
      </c>
      <c r="AB52" s="117" t="str">
        <f t="shared" ref="AB52:AL52" si="51">IF(AND($W52&lt;=AB$3,$W52&gt;AB$3-(AB$3-AA$3)),"SOP",IF(AND($Y52&lt;=AB$3,($Y52+$Z52*31)&gt;=AB$3),"X",""))</f>
        <v/>
      </c>
      <c r="AC52" s="117" t="str">
        <f t="shared" si="51"/>
        <v/>
      </c>
      <c r="AD52" s="117" t="str">
        <f t="shared" si="51"/>
        <v/>
      </c>
      <c r="AE52" s="117" t="str">
        <f t="shared" si="51"/>
        <v/>
      </c>
      <c r="AF52" s="117" t="str">
        <f t="shared" si="51"/>
        <v/>
      </c>
      <c r="AG52" s="117" t="str">
        <f t="shared" si="51"/>
        <v/>
      </c>
      <c r="AH52" s="117" t="str">
        <f t="shared" si="51"/>
        <v/>
      </c>
      <c r="AI52" s="117" t="str">
        <f t="shared" si="51"/>
        <v/>
      </c>
      <c r="AJ52" s="117" t="str">
        <f t="shared" si="51"/>
        <v/>
      </c>
      <c r="AK52" s="117" t="str">
        <f t="shared" si="51"/>
        <v/>
      </c>
      <c r="AL52" s="118" t="str">
        <f t="shared" si="51"/>
        <v>SOP</v>
      </c>
      <c r="AM52" s="136" t="str">
        <f t="shared" si="46"/>
        <v>X</v>
      </c>
      <c r="AN52" s="117" t="str">
        <f t="shared" si="49"/>
        <v>X</v>
      </c>
      <c r="AO52" s="117" t="str">
        <f t="shared" si="49"/>
        <v/>
      </c>
      <c r="AP52" s="117" t="str">
        <f t="shared" si="49"/>
        <v/>
      </c>
      <c r="AQ52" s="117" t="str">
        <f t="shared" si="49"/>
        <v/>
      </c>
      <c r="AR52" s="261" t="str">
        <f t="shared" si="49"/>
        <v/>
      </c>
      <c r="AS52" s="759"/>
      <c r="AT52" s="642">
        <v>0</v>
      </c>
      <c r="AU52" s="643">
        <v>0</v>
      </c>
      <c r="AV52" s="276">
        <v>0</v>
      </c>
      <c r="AW52" s="276"/>
      <c r="AX52" s="597" t="s">
        <v>3</v>
      </c>
    </row>
    <row r="53" spans="1:50" s="26" customFormat="1" ht="14.1" customHeight="1" thickBot="1">
      <c r="A53" s="184"/>
      <c r="B53" s="184"/>
      <c r="C53" s="714">
        <v>463</v>
      </c>
      <c r="D53" s="929"/>
      <c r="E53" s="133" t="s">
        <v>144</v>
      </c>
      <c r="F53" s="134" t="s">
        <v>163</v>
      </c>
      <c r="G53" s="134" t="s">
        <v>45</v>
      </c>
      <c r="H53" s="188" t="s">
        <v>35</v>
      </c>
      <c r="I53" s="1038" t="s">
        <v>41</v>
      </c>
      <c r="J53" s="134"/>
      <c r="K53" s="134"/>
      <c r="L53" s="856">
        <v>42796</v>
      </c>
      <c r="M53" s="805">
        <f>RBJP!BA53</f>
        <v>42912</v>
      </c>
      <c r="N53" s="805">
        <f>RBJP!BC53</f>
        <v>42912</v>
      </c>
      <c r="O53" s="805">
        <f>RBJP!BD53</f>
        <v>42919</v>
      </c>
      <c r="P53" s="857">
        <v>42918</v>
      </c>
      <c r="Q53" s="824"/>
      <c r="R53" s="835">
        <v>42932</v>
      </c>
      <c r="S53" s="807">
        <f>RBJP!BE53</f>
        <v>42933</v>
      </c>
      <c r="T53" s="797" t="str">
        <f>RBJP!BH53</f>
        <v>-</v>
      </c>
      <c r="U53" s="835">
        <v>42949</v>
      </c>
      <c r="V53" s="835"/>
      <c r="W53" s="835">
        <v>42949</v>
      </c>
      <c r="X53" s="835"/>
      <c r="Y53" s="835">
        <v>42949</v>
      </c>
      <c r="Z53" s="617"/>
      <c r="AA53" s="619" t="str">
        <f t="shared" si="47"/>
        <v/>
      </c>
      <c r="AB53" s="117" t="str">
        <f t="shared" ref="AB53:AL53" si="52">IF(AND($W53&lt;=AB$3,$W53&gt;AB$3-(AB$3-AA$3)),"SOP",IF(AND($Y53&lt;=AB$3,($Y53+$Z53*31)&gt;=AB$3),"X",""))</f>
        <v/>
      </c>
      <c r="AC53" s="117" t="str">
        <f t="shared" si="52"/>
        <v/>
      </c>
      <c r="AD53" s="117" t="str">
        <f t="shared" si="52"/>
        <v/>
      </c>
      <c r="AE53" s="117" t="str">
        <f t="shared" si="52"/>
        <v/>
      </c>
      <c r="AF53" s="117" t="str">
        <f t="shared" si="52"/>
        <v/>
      </c>
      <c r="AG53" s="117" t="str">
        <f t="shared" si="52"/>
        <v/>
      </c>
      <c r="AH53" s="117" t="str">
        <f t="shared" si="52"/>
        <v>SOP</v>
      </c>
      <c r="AI53" s="117" t="str">
        <f t="shared" si="52"/>
        <v/>
      </c>
      <c r="AJ53" s="117" t="str">
        <f t="shared" si="52"/>
        <v/>
      </c>
      <c r="AK53" s="117" t="str">
        <f t="shared" si="52"/>
        <v/>
      </c>
      <c r="AL53" s="118" t="str">
        <f t="shared" si="52"/>
        <v/>
      </c>
      <c r="AM53" s="136" t="str">
        <f t="shared" si="46"/>
        <v/>
      </c>
      <c r="AN53" s="117" t="str">
        <f t="shared" si="49"/>
        <v/>
      </c>
      <c r="AO53" s="117" t="str">
        <f t="shared" si="49"/>
        <v/>
      </c>
      <c r="AP53" s="117" t="str">
        <f t="shared" si="49"/>
        <v/>
      </c>
      <c r="AQ53" s="117" t="str">
        <f t="shared" si="49"/>
        <v/>
      </c>
      <c r="AR53" s="261" t="str">
        <f t="shared" si="49"/>
        <v/>
      </c>
      <c r="AS53" s="759"/>
      <c r="AT53" s="642">
        <v>0</v>
      </c>
      <c r="AU53" s="905" t="s">
        <v>387</v>
      </c>
      <c r="AV53" s="309"/>
      <c r="AW53" s="309"/>
      <c r="AX53" s="600" t="s">
        <v>3</v>
      </c>
    </row>
    <row r="54" spans="1:50" ht="14.1" customHeight="1" thickBot="1">
      <c r="A54" s="182"/>
      <c r="B54" s="182"/>
      <c r="C54" s="130">
        <v>464</v>
      </c>
      <c r="D54" s="930"/>
      <c r="E54" s="337" t="s">
        <v>346</v>
      </c>
      <c r="F54" s="322" t="s">
        <v>164</v>
      </c>
      <c r="G54" s="137" t="s">
        <v>165</v>
      </c>
      <c r="H54" s="190" t="s">
        <v>92</v>
      </c>
      <c r="I54" s="1036" t="s">
        <v>41</v>
      </c>
      <c r="J54" s="35"/>
      <c r="K54" s="35"/>
      <c r="L54" s="858">
        <v>42856</v>
      </c>
      <c r="M54" s="791">
        <f>RBJP!BA54</f>
        <v>42968</v>
      </c>
      <c r="N54" s="791">
        <f>RBJP!BC54</f>
        <v>42997</v>
      </c>
      <c r="O54" s="791">
        <f>RBJP!BD54</f>
        <v>43012</v>
      </c>
      <c r="P54" s="822">
        <v>43019</v>
      </c>
      <c r="Q54" s="809"/>
      <c r="R54" s="809">
        <v>43164</v>
      </c>
      <c r="S54" s="816">
        <f>RBJP!BE54</f>
        <v>0</v>
      </c>
      <c r="T54" s="797" t="str">
        <f>RBJP!BH54</f>
        <v>na</v>
      </c>
      <c r="U54" s="809">
        <v>43195</v>
      </c>
      <c r="V54" s="809"/>
      <c r="W54" s="809">
        <v>43195</v>
      </c>
      <c r="X54" s="809"/>
      <c r="Y54" s="809"/>
      <c r="Z54" s="747"/>
      <c r="AA54" s="620" t="str">
        <f t="shared" si="47"/>
        <v/>
      </c>
      <c r="AB54" s="104" t="str">
        <f t="shared" ref="AB54:AL54" si="53">IF(AND($W54&lt;=AB$3,$W54&gt;AB$3-(AB$3-AA$3)),"SOP",IF(AND($Y54&lt;=AB$3,($Y54+$Z54*31)&gt;=AB$3),"X",""))</f>
        <v/>
      </c>
      <c r="AC54" s="104" t="str">
        <f t="shared" si="53"/>
        <v/>
      </c>
      <c r="AD54" s="104" t="str">
        <f t="shared" si="53"/>
        <v/>
      </c>
      <c r="AE54" s="104" t="str">
        <f t="shared" si="53"/>
        <v/>
      </c>
      <c r="AF54" s="104" t="str">
        <f t="shared" si="53"/>
        <v/>
      </c>
      <c r="AG54" s="104" t="str">
        <f t="shared" si="53"/>
        <v/>
      </c>
      <c r="AH54" s="104" t="str">
        <f t="shared" si="53"/>
        <v/>
      </c>
      <c r="AI54" s="104" t="str">
        <f t="shared" si="53"/>
        <v/>
      </c>
      <c r="AJ54" s="104" t="str">
        <f t="shared" si="53"/>
        <v/>
      </c>
      <c r="AK54" s="104" t="str">
        <f t="shared" si="53"/>
        <v/>
      </c>
      <c r="AL54" s="105" t="str">
        <f t="shared" si="53"/>
        <v/>
      </c>
      <c r="AM54" s="103" t="str">
        <f t="shared" si="46"/>
        <v/>
      </c>
      <c r="AN54" s="104" t="str">
        <f t="shared" si="49"/>
        <v/>
      </c>
      <c r="AO54" s="104" t="str">
        <f t="shared" si="49"/>
        <v/>
      </c>
      <c r="AP54" s="104" t="str">
        <f t="shared" si="49"/>
        <v>SOP</v>
      </c>
      <c r="AQ54" s="104" t="str">
        <f t="shared" si="49"/>
        <v/>
      </c>
      <c r="AR54" s="260" t="str">
        <f t="shared" si="49"/>
        <v/>
      </c>
      <c r="AS54" s="966"/>
      <c r="AT54" s="644" t="s">
        <v>316</v>
      </c>
      <c r="AU54" s="892" t="s">
        <v>456</v>
      </c>
      <c r="AV54" s="341" t="s">
        <v>316</v>
      </c>
      <c r="AW54" s="275"/>
      <c r="AX54" s="597" t="s">
        <v>3</v>
      </c>
    </row>
    <row r="55" spans="1:50" ht="14.1" customHeight="1" thickBot="1">
      <c r="A55" s="182"/>
      <c r="B55" s="182"/>
      <c r="C55" s="336">
        <v>476</v>
      </c>
      <c r="D55" s="930"/>
      <c r="E55" s="358" t="s">
        <v>39</v>
      </c>
      <c r="F55" s="324" t="s">
        <v>167</v>
      </c>
      <c r="G55" s="137" t="s">
        <v>34</v>
      </c>
      <c r="H55" s="338" t="s">
        <v>92</v>
      </c>
      <c r="I55" s="1036" t="s">
        <v>41</v>
      </c>
      <c r="J55" s="35"/>
      <c r="K55" s="35"/>
      <c r="L55" s="859">
        <v>42898</v>
      </c>
      <c r="M55" s="791">
        <f>RBJP!BA55</f>
        <v>42950</v>
      </c>
      <c r="N55" s="791">
        <f>RBJP!BC55</f>
        <v>42970</v>
      </c>
      <c r="O55" s="791">
        <f>RBJP!BD55</f>
        <v>42979</v>
      </c>
      <c r="P55" s="860">
        <v>42979</v>
      </c>
      <c r="Q55" s="884"/>
      <c r="R55" s="861"/>
      <c r="S55" s="816">
        <f>RBJP!BE55</f>
        <v>0</v>
      </c>
      <c r="T55" s="797">
        <f>RBJP!BH55</f>
        <v>0</v>
      </c>
      <c r="U55" s="861"/>
      <c r="V55" s="861"/>
      <c r="W55" s="861" t="s">
        <v>128</v>
      </c>
      <c r="X55" s="861"/>
      <c r="Y55" s="861"/>
      <c r="Z55" s="747"/>
      <c r="AA55" s="621" t="str">
        <f t="shared" si="47"/>
        <v/>
      </c>
      <c r="AB55" s="603" t="str">
        <f t="shared" ref="AB55:AL55" si="54">IF(AND($W55&lt;=AB$3,$W55&gt;AB$3-(AB$3-AA$3)),"SOP",IF(AND($Y55&lt;=AB$3,($Y55+$Z55*31)&gt;=AB$3),"X",""))</f>
        <v/>
      </c>
      <c r="AC55" s="603" t="str">
        <f t="shared" si="54"/>
        <v/>
      </c>
      <c r="AD55" s="603" t="str">
        <f t="shared" si="54"/>
        <v/>
      </c>
      <c r="AE55" s="603" t="str">
        <f t="shared" si="54"/>
        <v/>
      </c>
      <c r="AF55" s="603" t="str">
        <f t="shared" si="54"/>
        <v/>
      </c>
      <c r="AG55" s="603" t="str">
        <f t="shared" si="54"/>
        <v/>
      </c>
      <c r="AH55" s="603" t="str">
        <f t="shared" si="54"/>
        <v/>
      </c>
      <c r="AI55" s="603" t="str">
        <f t="shared" si="54"/>
        <v/>
      </c>
      <c r="AJ55" s="603" t="str">
        <f t="shared" si="54"/>
        <v/>
      </c>
      <c r="AK55" s="603" t="str">
        <f t="shared" si="54"/>
        <v/>
      </c>
      <c r="AL55" s="604" t="str">
        <f t="shared" si="54"/>
        <v/>
      </c>
      <c r="AM55" s="602" t="str">
        <f t="shared" si="46"/>
        <v/>
      </c>
      <c r="AN55" s="603" t="str">
        <f t="shared" si="49"/>
        <v/>
      </c>
      <c r="AO55" s="603" t="str">
        <f t="shared" si="49"/>
        <v/>
      </c>
      <c r="AP55" s="603" t="str">
        <f t="shared" si="49"/>
        <v/>
      </c>
      <c r="AQ55" s="603" t="str">
        <f t="shared" si="49"/>
        <v/>
      </c>
      <c r="AR55" s="605" t="str">
        <f t="shared" si="49"/>
        <v/>
      </c>
      <c r="AS55" s="969"/>
      <c r="AT55" s="641" t="s">
        <v>87</v>
      </c>
      <c r="AU55" s="1051" t="s">
        <v>404</v>
      </c>
      <c r="AV55" s="341"/>
      <c r="AW55" s="271"/>
      <c r="AX55" s="597" t="s">
        <v>3</v>
      </c>
    </row>
    <row r="56" spans="1:50" s="335" customFormat="1" ht="13.5" thickBot="1">
      <c r="A56" s="182"/>
      <c r="B56" s="182"/>
      <c r="C56" s="886">
        <v>477</v>
      </c>
      <c r="D56" s="931" t="s">
        <v>31</v>
      </c>
      <c r="E56" s="337" t="s">
        <v>80</v>
      </c>
      <c r="F56" s="323" t="s">
        <v>168</v>
      </c>
      <c r="G56" s="137" t="s">
        <v>34</v>
      </c>
      <c r="H56" s="338" t="s">
        <v>92</v>
      </c>
      <c r="I56" s="775" t="s">
        <v>41</v>
      </c>
      <c r="J56" s="35"/>
      <c r="K56" s="35"/>
      <c r="L56" s="858">
        <v>42879</v>
      </c>
      <c r="M56" s="791">
        <f>RBJP!BA56</f>
        <v>42950</v>
      </c>
      <c r="N56" s="791">
        <f>RBJP!BC56</f>
        <v>42957</v>
      </c>
      <c r="O56" s="791">
        <f>RBJP!BD56</f>
        <v>42979</v>
      </c>
      <c r="P56" s="860">
        <v>42971</v>
      </c>
      <c r="Q56" s="863">
        <v>42971</v>
      </c>
      <c r="R56" s="863">
        <v>43003</v>
      </c>
      <c r="S56" s="883">
        <f>RBJP!BE56</f>
        <v>43004</v>
      </c>
      <c r="T56" s="797">
        <f>RBJP!BH56</f>
        <v>42996</v>
      </c>
      <c r="U56" s="863">
        <v>43010</v>
      </c>
      <c r="V56" s="861"/>
      <c r="W56" s="863">
        <v>43018</v>
      </c>
      <c r="X56" s="863"/>
      <c r="Y56" s="862">
        <v>43019</v>
      </c>
      <c r="Z56" s="747"/>
      <c r="AA56" s="621" t="str">
        <f t="shared" si="47"/>
        <v/>
      </c>
      <c r="AB56" s="603" t="str">
        <f t="shared" ref="AB56:AL56" si="55">IF(AND($W56&lt;=AB$3,$W56&gt;AB$3-(AB$3-AA$3)),"SOP",IF(AND($Y56&lt;=AB$3,($Y56+$Z56*31)&gt;=AB$3),"X",""))</f>
        <v/>
      </c>
      <c r="AC56" s="603" t="str">
        <f t="shared" si="55"/>
        <v/>
      </c>
      <c r="AD56" s="603" t="str">
        <f t="shared" si="55"/>
        <v/>
      </c>
      <c r="AE56" s="603" t="str">
        <f t="shared" si="55"/>
        <v/>
      </c>
      <c r="AF56" s="603" t="str">
        <f t="shared" si="55"/>
        <v/>
      </c>
      <c r="AG56" s="603" t="str">
        <f t="shared" si="55"/>
        <v/>
      </c>
      <c r="AH56" s="603" t="str">
        <f t="shared" si="55"/>
        <v/>
      </c>
      <c r="AI56" s="603" t="str">
        <f t="shared" si="55"/>
        <v/>
      </c>
      <c r="AJ56" s="603" t="str">
        <f t="shared" si="55"/>
        <v>SOP</v>
      </c>
      <c r="AK56" s="603" t="str">
        <f t="shared" si="55"/>
        <v/>
      </c>
      <c r="AL56" s="604" t="str">
        <f t="shared" si="55"/>
        <v/>
      </c>
      <c r="AM56" s="602" t="str">
        <f t="shared" si="46"/>
        <v/>
      </c>
      <c r="AN56" s="603" t="str">
        <f t="shared" si="49"/>
        <v/>
      </c>
      <c r="AO56" s="603" t="str">
        <f t="shared" si="49"/>
        <v/>
      </c>
      <c r="AP56" s="603" t="str">
        <f t="shared" si="49"/>
        <v/>
      </c>
      <c r="AQ56" s="603" t="str">
        <f t="shared" si="49"/>
        <v/>
      </c>
      <c r="AR56" s="605" t="str">
        <f t="shared" si="49"/>
        <v/>
      </c>
      <c r="AS56" s="760"/>
      <c r="AT56" s="641" t="s">
        <v>87</v>
      </c>
      <c r="AU56" s="637" t="s">
        <v>380</v>
      </c>
      <c r="AV56" s="341"/>
      <c r="AW56" s="271"/>
      <c r="AX56" s="597" t="s">
        <v>3</v>
      </c>
    </row>
    <row r="57" spans="1:50" s="316" customFormat="1" ht="14.1" customHeight="1" thickBot="1">
      <c r="A57" s="182"/>
      <c r="B57" s="182"/>
      <c r="C57" s="972">
        <v>478</v>
      </c>
      <c r="D57" s="933" t="s">
        <v>31</v>
      </c>
      <c r="E57" s="588" t="s">
        <v>80</v>
      </c>
      <c r="F57" s="589" t="s">
        <v>169</v>
      </c>
      <c r="G57" s="590" t="s">
        <v>34</v>
      </c>
      <c r="H57" s="591" t="s">
        <v>92</v>
      </c>
      <c r="I57" s="775" t="s">
        <v>41</v>
      </c>
      <c r="J57" s="592"/>
      <c r="K57" s="592"/>
      <c r="L57" s="864">
        <v>42920</v>
      </c>
      <c r="M57" s="798">
        <f>RBJP!BA57</f>
        <v>42950</v>
      </c>
      <c r="N57" s="798">
        <f>RBJP!BC57</f>
        <v>42970</v>
      </c>
      <c r="O57" s="798">
        <f>RBJP!BD57</f>
        <v>42970</v>
      </c>
      <c r="P57" s="865">
        <v>42979</v>
      </c>
      <c r="Q57" s="793">
        <v>43048</v>
      </c>
      <c r="R57" s="793">
        <v>43073</v>
      </c>
      <c r="S57" s="821">
        <f>RBJP!BE57</f>
        <v>43081</v>
      </c>
      <c r="T57" s="797">
        <f>RBJP!BH57</f>
        <v>43059</v>
      </c>
      <c r="U57" s="793">
        <v>43083</v>
      </c>
      <c r="V57" s="809"/>
      <c r="W57" s="793">
        <v>43088</v>
      </c>
      <c r="X57" s="809"/>
      <c r="Y57" s="809"/>
      <c r="Z57" s="747"/>
      <c r="AA57" s="622" t="str">
        <f t="shared" si="47"/>
        <v/>
      </c>
      <c r="AB57" s="594" t="str">
        <f t="shared" ref="AB57:AL57" si="56">IF(AND($W57&lt;=AB$3,$W57&gt;AB$3-(AB$3-AA$3)),"SOP",IF(AND($Y57&lt;=AB$3,($Y57+$Z57*31)&gt;=AB$3),"X",""))</f>
        <v/>
      </c>
      <c r="AC57" s="594" t="str">
        <f t="shared" si="56"/>
        <v/>
      </c>
      <c r="AD57" s="594" t="str">
        <f t="shared" si="56"/>
        <v/>
      </c>
      <c r="AE57" s="594" t="str">
        <f t="shared" si="56"/>
        <v/>
      </c>
      <c r="AF57" s="594" t="str">
        <f t="shared" si="56"/>
        <v/>
      </c>
      <c r="AG57" s="594" t="str">
        <f t="shared" si="56"/>
        <v/>
      </c>
      <c r="AH57" s="594" t="str">
        <f t="shared" si="56"/>
        <v/>
      </c>
      <c r="AI57" s="594" t="str">
        <f t="shared" si="56"/>
        <v/>
      </c>
      <c r="AJ57" s="594" t="str">
        <f t="shared" si="56"/>
        <v/>
      </c>
      <c r="AK57" s="594" t="str">
        <f t="shared" si="56"/>
        <v/>
      </c>
      <c r="AL57" s="595" t="str">
        <f t="shared" si="56"/>
        <v>SOP</v>
      </c>
      <c r="AM57" s="593" t="str">
        <f t="shared" si="46"/>
        <v/>
      </c>
      <c r="AN57" s="594" t="str">
        <f t="shared" si="49"/>
        <v/>
      </c>
      <c r="AO57" s="594" t="str">
        <f t="shared" si="49"/>
        <v/>
      </c>
      <c r="AP57" s="594" t="str">
        <f t="shared" si="49"/>
        <v/>
      </c>
      <c r="AQ57" s="594" t="str">
        <f t="shared" si="49"/>
        <v/>
      </c>
      <c r="AR57" s="596" t="str">
        <f t="shared" si="49"/>
        <v/>
      </c>
      <c r="AS57" s="970"/>
      <c r="AT57" s="644" t="s">
        <v>87</v>
      </c>
      <c r="AU57" s="1022" t="s">
        <v>415</v>
      </c>
      <c r="AV57" s="341"/>
      <c r="AW57" s="341"/>
      <c r="AX57" s="597" t="s">
        <v>3</v>
      </c>
    </row>
    <row r="58" spans="1:50" s="335" customFormat="1" ht="14.1" customHeight="1" thickBot="1">
      <c r="A58" s="182"/>
      <c r="B58" s="182"/>
      <c r="C58" s="713">
        <v>479</v>
      </c>
      <c r="D58" s="930"/>
      <c r="E58" s="358" t="s">
        <v>39</v>
      </c>
      <c r="F58" s="324" t="s">
        <v>170</v>
      </c>
      <c r="G58" s="137" t="s">
        <v>34</v>
      </c>
      <c r="H58" s="338" t="s">
        <v>92</v>
      </c>
      <c r="I58" s="1036" t="s">
        <v>41</v>
      </c>
      <c r="J58" s="35"/>
      <c r="K58" s="35"/>
      <c r="L58" s="864">
        <v>42935</v>
      </c>
      <c r="M58" s="791">
        <f>RBJP!BA58</f>
        <v>42989</v>
      </c>
      <c r="N58" s="796">
        <f>RBJP!BC58</f>
        <v>43019</v>
      </c>
      <c r="O58" s="805">
        <f>RBJP!BD58</f>
        <v>43033</v>
      </c>
      <c r="P58" s="895"/>
      <c r="Q58" s="809"/>
      <c r="R58" s="861"/>
      <c r="S58" s="816">
        <f>RBJP!BE58</f>
        <v>0</v>
      </c>
      <c r="T58" s="797">
        <f>RBJP!BH58</f>
        <v>0</v>
      </c>
      <c r="U58" s="861"/>
      <c r="V58" s="861"/>
      <c r="W58" s="861" t="s">
        <v>128</v>
      </c>
      <c r="X58" s="861"/>
      <c r="Y58" s="861"/>
      <c r="Z58" s="747"/>
      <c r="AA58" s="621" t="str">
        <f t="shared" si="47"/>
        <v/>
      </c>
      <c r="AB58" s="603" t="str">
        <f t="shared" ref="AB58:AL58" si="57">IF(AND($W58&lt;=AB$3,$W58&gt;AB$3-(AB$3-AA$3)),"SOP",IF(AND($Y58&lt;=AB$3,($Y58+$Z58*31)&gt;=AB$3),"X",""))</f>
        <v/>
      </c>
      <c r="AC58" s="603" t="str">
        <f t="shared" si="57"/>
        <v/>
      </c>
      <c r="AD58" s="603" t="str">
        <f t="shared" si="57"/>
        <v/>
      </c>
      <c r="AE58" s="603" t="str">
        <f t="shared" si="57"/>
        <v/>
      </c>
      <c r="AF58" s="603" t="str">
        <f t="shared" si="57"/>
        <v/>
      </c>
      <c r="AG58" s="603" t="str">
        <f t="shared" si="57"/>
        <v/>
      </c>
      <c r="AH58" s="603" t="str">
        <f t="shared" si="57"/>
        <v/>
      </c>
      <c r="AI58" s="603" t="str">
        <f t="shared" si="57"/>
        <v/>
      </c>
      <c r="AJ58" s="603" t="str">
        <f t="shared" si="57"/>
        <v/>
      </c>
      <c r="AK58" s="603" t="str">
        <f t="shared" si="57"/>
        <v/>
      </c>
      <c r="AL58" s="604" t="str">
        <f t="shared" si="57"/>
        <v/>
      </c>
      <c r="AM58" s="602" t="str">
        <f t="shared" si="46"/>
        <v/>
      </c>
      <c r="AN58" s="603" t="str">
        <f t="shared" si="49"/>
        <v/>
      </c>
      <c r="AO58" s="603" t="str">
        <f t="shared" si="49"/>
        <v/>
      </c>
      <c r="AP58" s="603" t="str">
        <f t="shared" si="49"/>
        <v/>
      </c>
      <c r="AQ58" s="603" t="str">
        <f t="shared" si="49"/>
        <v/>
      </c>
      <c r="AR58" s="605" t="str">
        <f t="shared" si="49"/>
        <v/>
      </c>
      <c r="AS58" s="969"/>
      <c r="AT58" s="641" t="s">
        <v>87</v>
      </c>
      <c r="AU58" s="1051" t="s">
        <v>405</v>
      </c>
      <c r="AV58" s="341"/>
      <c r="AW58" s="271"/>
      <c r="AX58" s="597" t="s">
        <v>3</v>
      </c>
    </row>
    <row r="59" spans="1:50" ht="14.1" customHeight="1" thickBot="1">
      <c r="A59" s="182"/>
      <c r="B59" s="182"/>
      <c r="C59" s="713">
        <v>480</v>
      </c>
      <c r="D59" s="930"/>
      <c r="E59" s="358" t="s">
        <v>39</v>
      </c>
      <c r="F59" s="323" t="s">
        <v>171</v>
      </c>
      <c r="G59" s="137" t="s">
        <v>34</v>
      </c>
      <c r="H59" s="338" t="s">
        <v>92</v>
      </c>
      <c r="I59" s="1036" t="s">
        <v>41</v>
      </c>
      <c r="J59" s="35"/>
      <c r="K59" s="35"/>
      <c r="L59" s="858">
        <v>42957</v>
      </c>
      <c r="M59" s="791">
        <f>RBJP!BA59</f>
        <v>42989</v>
      </c>
      <c r="N59" s="796">
        <f>RBJP!BC59</f>
        <v>43019</v>
      </c>
      <c r="O59" s="799">
        <f>RBJP!BD59</f>
        <v>43033</v>
      </c>
      <c r="P59" s="866"/>
      <c r="Q59" s="867"/>
      <c r="R59" s="867"/>
      <c r="S59" s="816">
        <f>RBJP!BE59</f>
        <v>0</v>
      </c>
      <c r="T59" s="797">
        <f>RBJP!BH59</f>
        <v>0</v>
      </c>
      <c r="U59" s="867"/>
      <c r="V59" s="867"/>
      <c r="W59" s="861" t="s">
        <v>128</v>
      </c>
      <c r="X59" s="867"/>
      <c r="Y59" s="867"/>
      <c r="Z59" s="747"/>
      <c r="AA59" s="621" t="str">
        <f t="shared" si="47"/>
        <v/>
      </c>
      <c r="AB59" s="603" t="str">
        <f t="shared" ref="AB59:AL59" si="58">IF(AND($W59&lt;=AB$3,$W59&gt;AB$3-(AB$3-AA$3)),"SOP",IF(AND($Y59&lt;=AB$3,($Y59+$Z59*31)&gt;=AB$3),"X",""))</f>
        <v/>
      </c>
      <c r="AC59" s="603" t="str">
        <f t="shared" si="58"/>
        <v/>
      </c>
      <c r="AD59" s="603" t="str">
        <f t="shared" si="58"/>
        <v/>
      </c>
      <c r="AE59" s="603" t="str">
        <f t="shared" si="58"/>
        <v/>
      </c>
      <c r="AF59" s="603" t="str">
        <f t="shared" si="58"/>
        <v/>
      </c>
      <c r="AG59" s="603" t="str">
        <f t="shared" si="58"/>
        <v/>
      </c>
      <c r="AH59" s="603" t="str">
        <f t="shared" si="58"/>
        <v/>
      </c>
      <c r="AI59" s="603" t="str">
        <f t="shared" si="58"/>
        <v/>
      </c>
      <c r="AJ59" s="603" t="str">
        <f t="shared" si="58"/>
        <v/>
      </c>
      <c r="AK59" s="603" t="str">
        <f t="shared" si="58"/>
        <v/>
      </c>
      <c r="AL59" s="604" t="str">
        <f t="shared" si="58"/>
        <v/>
      </c>
      <c r="AM59" s="602" t="str">
        <f t="shared" si="46"/>
        <v/>
      </c>
      <c r="AN59" s="603" t="str">
        <f t="shared" si="49"/>
        <v/>
      </c>
      <c r="AO59" s="603" t="str">
        <f t="shared" si="49"/>
        <v/>
      </c>
      <c r="AP59" s="603" t="str">
        <f t="shared" si="49"/>
        <v/>
      </c>
      <c r="AQ59" s="603" t="str">
        <f t="shared" si="49"/>
        <v/>
      </c>
      <c r="AR59" s="605" t="str">
        <f t="shared" si="49"/>
        <v/>
      </c>
      <c r="AS59" s="969"/>
      <c r="AT59" s="641" t="s">
        <v>87</v>
      </c>
      <c r="AU59" s="1051" t="s">
        <v>406</v>
      </c>
      <c r="AV59" s="341"/>
      <c r="AW59" s="275"/>
      <c r="AX59" s="597" t="s">
        <v>3</v>
      </c>
    </row>
    <row r="60" spans="1:50" ht="14.1" customHeight="1" thickBot="1">
      <c r="A60" s="182"/>
      <c r="B60" s="182"/>
      <c r="C60" s="606">
        <v>481</v>
      </c>
      <c r="D60" s="1080"/>
      <c r="E60" s="772" t="s">
        <v>346</v>
      </c>
      <c r="F60" s="326" t="s">
        <v>172</v>
      </c>
      <c r="G60" s="27" t="s">
        <v>45</v>
      </c>
      <c r="H60" s="607" t="s">
        <v>173</v>
      </c>
      <c r="I60" s="1076" t="s">
        <v>99</v>
      </c>
      <c r="J60" s="35"/>
      <c r="K60" s="35"/>
      <c r="L60" s="808">
        <v>42923</v>
      </c>
      <c r="M60" s="868">
        <f>RBJP!BA60</f>
        <v>42983</v>
      </c>
      <c r="N60" s="796">
        <f>RBJP!BC60</f>
        <v>42985</v>
      </c>
      <c r="O60" s="798">
        <f>RBJP!BD60</f>
        <v>43004</v>
      </c>
      <c r="P60" s="860">
        <v>43006</v>
      </c>
      <c r="Q60" s="867"/>
      <c r="R60" s="867"/>
      <c r="S60" s="816">
        <f>RBJP!BE60</f>
        <v>0</v>
      </c>
      <c r="T60" s="797">
        <f>RBJP!BH60</f>
        <v>0</v>
      </c>
      <c r="U60" s="867"/>
      <c r="V60" s="867"/>
      <c r="W60" s="867" t="s">
        <v>128</v>
      </c>
      <c r="X60" s="867"/>
      <c r="Y60" s="867"/>
      <c r="Z60" s="747"/>
      <c r="AA60" s="621" t="str">
        <f t="shared" si="47"/>
        <v/>
      </c>
      <c r="AB60" s="603" t="str">
        <f t="shared" ref="AB60:AL60" si="59">IF(AND($W60&lt;=AB$3,$W60&gt;AB$3-(AB$3-AA$3)),"SOP",IF(AND($Y60&lt;=AB$3,($Y60+$Z60*31)&gt;=AB$3),"X",""))</f>
        <v/>
      </c>
      <c r="AC60" s="603" t="str">
        <f t="shared" si="59"/>
        <v/>
      </c>
      <c r="AD60" s="603" t="str">
        <f t="shared" si="59"/>
        <v/>
      </c>
      <c r="AE60" s="603" t="str">
        <f t="shared" si="59"/>
        <v/>
      </c>
      <c r="AF60" s="603" t="str">
        <f t="shared" si="59"/>
        <v/>
      </c>
      <c r="AG60" s="603" t="str">
        <f t="shared" si="59"/>
        <v/>
      </c>
      <c r="AH60" s="603" t="str">
        <f t="shared" si="59"/>
        <v/>
      </c>
      <c r="AI60" s="603" t="str">
        <f t="shared" si="59"/>
        <v/>
      </c>
      <c r="AJ60" s="603" t="str">
        <f t="shared" si="59"/>
        <v/>
      </c>
      <c r="AK60" s="603" t="str">
        <f t="shared" si="59"/>
        <v/>
      </c>
      <c r="AL60" s="604" t="str">
        <f t="shared" si="59"/>
        <v/>
      </c>
      <c r="AM60" s="602" t="str">
        <f t="shared" si="46"/>
        <v/>
      </c>
      <c r="AN60" s="603" t="str">
        <f t="shared" ref="AN60:AR69" si="60">IF(AND($W60&lt;=AN$3,$W60&gt;AN$3-(AN$3-AM$3)),"SOP",IF(AND($Y60&lt;=AN$3,($Y60+$Z60*31)&gt;=AN$3),"X",""))</f>
        <v/>
      </c>
      <c r="AO60" s="603" t="str">
        <f t="shared" si="60"/>
        <v/>
      </c>
      <c r="AP60" s="603" t="str">
        <f t="shared" si="60"/>
        <v/>
      </c>
      <c r="AQ60" s="603" t="str">
        <f t="shared" si="60"/>
        <v/>
      </c>
      <c r="AR60" s="605" t="str">
        <f t="shared" si="60"/>
        <v/>
      </c>
      <c r="AS60" s="969"/>
      <c r="AT60" s="644" t="s">
        <v>316</v>
      </c>
      <c r="AU60" s="892" t="s">
        <v>423</v>
      </c>
      <c r="AV60" s="341" t="s">
        <v>316</v>
      </c>
      <c r="AW60" s="271"/>
      <c r="AX60" s="597" t="s">
        <v>3</v>
      </c>
    </row>
    <row r="61" spans="1:50" s="26" customFormat="1" ht="13.5" thickBot="1">
      <c r="A61" s="184"/>
      <c r="B61" s="184"/>
      <c r="C61" s="608">
        <v>483</v>
      </c>
      <c r="D61" s="929"/>
      <c r="E61" s="609" t="s">
        <v>147</v>
      </c>
      <c r="F61" s="315" t="s">
        <v>300</v>
      </c>
      <c r="G61" s="134" t="s">
        <v>34</v>
      </c>
      <c r="H61" s="610" t="s">
        <v>35</v>
      </c>
      <c r="I61" s="1038" t="s">
        <v>99</v>
      </c>
      <c r="J61" s="134"/>
      <c r="K61" s="134"/>
      <c r="L61" s="869" t="s">
        <v>128</v>
      </c>
      <c r="M61" s="835">
        <f>RBJP!BA61</f>
        <v>0</v>
      </c>
      <c r="N61" s="835">
        <f>RBJP!BC61</f>
        <v>0</v>
      </c>
      <c r="O61" s="835"/>
      <c r="P61" s="870" t="s">
        <v>128</v>
      </c>
      <c r="Q61" s="871"/>
      <c r="R61" s="872"/>
      <c r="S61" s="836"/>
      <c r="T61" s="797" t="str">
        <f>RBJP!BH61</f>
        <v>-</v>
      </c>
      <c r="U61" s="872"/>
      <c r="V61" s="872"/>
      <c r="W61" s="872">
        <v>43010</v>
      </c>
      <c r="X61" s="872"/>
      <c r="Y61" s="872">
        <v>43010</v>
      </c>
      <c r="Z61" s="307"/>
      <c r="AA61" s="623" t="str">
        <f t="shared" si="47"/>
        <v/>
      </c>
      <c r="AB61" s="612" t="str">
        <f t="shared" ref="AB61:AL61" si="61">IF(AND($W61&lt;=AB$3,$W61&gt;AB$3-(AB$3-AA$3)),"SOP",IF(AND($Y61&lt;=AB$3,($Y61+$Z61*31)&gt;=AB$3),"X",""))</f>
        <v/>
      </c>
      <c r="AC61" s="612" t="str">
        <f t="shared" si="61"/>
        <v/>
      </c>
      <c r="AD61" s="612" t="str">
        <f t="shared" si="61"/>
        <v/>
      </c>
      <c r="AE61" s="612" t="str">
        <f t="shared" si="61"/>
        <v/>
      </c>
      <c r="AF61" s="612" t="str">
        <f t="shared" si="61"/>
        <v/>
      </c>
      <c r="AG61" s="612" t="str">
        <f t="shared" si="61"/>
        <v/>
      </c>
      <c r="AH61" s="612" t="str">
        <f t="shared" si="61"/>
        <v/>
      </c>
      <c r="AI61" s="612" t="str">
        <f t="shared" si="61"/>
        <v/>
      </c>
      <c r="AJ61" s="612" t="str">
        <f t="shared" si="61"/>
        <v>SOP</v>
      </c>
      <c r="AK61" s="612" t="str">
        <f t="shared" si="61"/>
        <v/>
      </c>
      <c r="AL61" s="613" t="str">
        <f t="shared" si="61"/>
        <v/>
      </c>
      <c r="AM61" s="611" t="str">
        <f t="shared" si="46"/>
        <v/>
      </c>
      <c r="AN61" s="612" t="str">
        <f t="shared" si="60"/>
        <v/>
      </c>
      <c r="AO61" s="612" t="str">
        <f t="shared" si="60"/>
        <v/>
      </c>
      <c r="AP61" s="612" t="str">
        <f t="shared" si="60"/>
        <v/>
      </c>
      <c r="AQ61" s="612" t="str">
        <f t="shared" si="60"/>
        <v/>
      </c>
      <c r="AR61" s="614" t="str">
        <f t="shared" si="60"/>
        <v/>
      </c>
      <c r="AS61" s="761"/>
      <c r="AT61" s="642"/>
      <c r="AU61" s="645" t="s">
        <v>304</v>
      </c>
      <c r="AV61" s="309"/>
      <c r="AW61" s="309"/>
      <c r="AX61" s="600" t="s">
        <v>3</v>
      </c>
    </row>
    <row r="62" spans="1:50" s="26" customFormat="1" ht="13.5" thickBot="1">
      <c r="A62" s="182"/>
      <c r="B62" s="182"/>
      <c r="C62" s="626">
        <v>484</v>
      </c>
      <c r="D62" s="925"/>
      <c r="E62" s="133" t="s">
        <v>80</v>
      </c>
      <c r="F62" s="627" t="s">
        <v>301</v>
      </c>
      <c r="G62" s="134" t="s">
        <v>34</v>
      </c>
      <c r="H62" s="188" t="s">
        <v>46</v>
      </c>
      <c r="I62" s="1038" t="s">
        <v>47</v>
      </c>
      <c r="J62" s="628"/>
      <c r="K62" s="627"/>
      <c r="L62" s="873">
        <v>42914</v>
      </c>
      <c r="M62" s="835">
        <f>RBJP!BA62</f>
        <v>0</v>
      </c>
      <c r="N62" s="835">
        <f>RBJP!BC62</f>
        <v>0</v>
      </c>
      <c r="O62" s="835">
        <f>RBJP!BD84</f>
        <v>0</v>
      </c>
      <c r="P62" s="951">
        <v>42931</v>
      </c>
      <c r="Q62" s="824">
        <v>42947</v>
      </c>
      <c r="R62" s="824">
        <v>43010</v>
      </c>
      <c r="S62" s="836">
        <f>RBJP!BE86</f>
        <v>0</v>
      </c>
      <c r="T62" s="797" t="str">
        <f>RBJP!BH62</f>
        <v>-</v>
      </c>
      <c r="U62" s="824">
        <v>43038</v>
      </c>
      <c r="V62" s="824"/>
      <c r="W62" s="835">
        <v>43059</v>
      </c>
      <c r="X62" s="835"/>
      <c r="Y62" s="835">
        <v>43070</v>
      </c>
      <c r="Z62" s="617">
        <v>3</v>
      </c>
      <c r="AA62" s="629" t="str">
        <f t="shared" si="47"/>
        <v/>
      </c>
      <c r="AB62" s="630" t="str">
        <f t="shared" ref="AB62:AL62" si="62">IF(AND($W62&lt;=AB$3,$W62&gt;AB$3-(AB$3-AA$3)),"SOP",IF(AND($Y62&lt;=AB$3,($Y62+$Z62*31)&gt;=AB$3),"X",""))</f>
        <v/>
      </c>
      <c r="AC62" s="630" t="str">
        <f t="shared" si="62"/>
        <v/>
      </c>
      <c r="AD62" s="630" t="str">
        <f t="shared" si="62"/>
        <v/>
      </c>
      <c r="AE62" s="630" t="str">
        <f t="shared" si="62"/>
        <v/>
      </c>
      <c r="AF62" s="630" t="str">
        <f t="shared" si="62"/>
        <v/>
      </c>
      <c r="AG62" s="630" t="str">
        <f t="shared" si="62"/>
        <v/>
      </c>
      <c r="AH62" s="630" t="str">
        <f t="shared" si="62"/>
        <v/>
      </c>
      <c r="AI62" s="630" t="str">
        <f t="shared" si="62"/>
        <v/>
      </c>
      <c r="AJ62" s="630" t="str">
        <f t="shared" si="62"/>
        <v/>
      </c>
      <c r="AK62" s="630" t="str">
        <f t="shared" si="62"/>
        <v>SOP</v>
      </c>
      <c r="AL62" s="631" t="str">
        <f t="shared" si="62"/>
        <v>X</v>
      </c>
      <c r="AM62" s="632" t="str">
        <f t="shared" si="46"/>
        <v>X</v>
      </c>
      <c r="AN62" s="630" t="str">
        <f t="shared" si="60"/>
        <v>X</v>
      </c>
      <c r="AO62" s="630" t="str">
        <f t="shared" si="60"/>
        <v/>
      </c>
      <c r="AP62" s="630" t="str">
        <f t="shared" si="60"/>
        <v/>
      </c>
      <c r="AQ62" s="630" t="str">
        <f t="shared" si="60"/>
        <v/>
      </c>
      <c r="AR62" s="633" t="str">
        <f t="shared" si="60"/>
        <v/>
      </c>
      <c r="AS62" s="762"/>
      <c r="AT62" s="646">
        <v>0</v>
      </c>
      <c r="AU62" s="640" t="s">
        <v>323</v>
      </c>
      <c r="AV62" s="341"/>
      <c r="AW62" s="624" t="s">
        <v>162</v>
      </c>
      <c r="AX62" s="600" t="s">
        <v>3</v>
      </c>
    </row>
    <row r="63" spans="1:50" ht="14.1" customHeight="1" thickBot="1">
      <c r="A63" s="182"/>
      <c r="B63" s="182"/>
      <c r="C63" s="38">
        <v>492</v>
      </c>
      <c r="D63" s="934"/>
      <c r="E63" s="266" t="s">
        <v>346</v>
      </c>
      <c r="F63" s="724" t="s">
        <v>369</v>
      </c>
      <c r="G63" s="35" t="s">
        <v>34</v>
      </c>
      <c r="H63" s="634" t="s">
        <v>116</v>
      </c>
      <c r="I63" s="1036" t="s">
        <v>41</v>
      </c>
      <c r="J63" s="41"/>
      <c r="K63" s="42"/>
      <c r="L63" s="932">
        <v>43110</v>
      </c>
      <c r="M63" s="791">
        <f>RBJP!BA63</f>
        <v>43116</v>
      </c>
      <c r="N63" s="791">
        <f>RBJP!BC63</f>
        <v>43130</v>
      </c>
      <c r="O63" s="798">
        <f>RBJP!BD63</f>
        <v>43130</v>
      </c>
      <c r="P63" s="1005">
        <v>43143</v>
      </c>
      <c r="Q63" s="791">
        <v>43118</v>
      </c>
      <c r="R63" s="815">
        <v>43173</v>
      </c>
      <c r="S63" s="816">
        <f>RBJP!BE63</f>
        <v>43186</v>
      </c>
      <c r="T63" s="797">
        <f>RBJP!BH63</f>
        <v>0</v>
      </c>
      <c r="U63" s="815">
        <v>43221</v>
      </c>
      <c r="V63" s="815"/>
      <c r="W63" s="799">
        <v>43222</v>
      </c>
      <c r="X63" s="815">
        <v>43222</v>
      </c>
      <c r="Y63" s="799" t="s">
        <v>63</v>
      </c>
      <c r="Z63" s="748"/>
      <c r="AA63" s="622" t="e">
        <f t="shared" si="47"/>
        <v>#VALUE!</v>
      </c>
      <c r="AB63" s="594" t="e">
        <f t="shared" ref="AB63:AL63" si="63">IF(AND($W63&lt;=AB$3,$W63&gt;AB$3-(AB$3-AA$3)),"SOP",IF(AND($Y63&lt;=AB$3,($Y63+$Z63*31)&gt;=AB$3),"X",""))</f>
        <v>#VALUE!</v>
      </c>
      <c r="AC63" s="594" t="e">
        <f t="shared" si="63"/>
        <v>#VALUE!</v>
      </c>
      <c r="AD63" s="594" t="e">
        <f t="shared" si="63"/>
        <v>#VALUE!</v>
      </c>
      <c r="AE63" s="594" t="e">
        <f t="shared" si="63"/>
        <v>#VALUE!</v>
      </c>
      <c r="AF63" s="594" t="e">
        <f t="shared" si="63"/>
        <v>#VALUE!</v>
      </c>
      <c r="AG63" s="594" t="e">
        <f t="shared" si="63"/>
        <v>#VALUE!</v>
      </c>
      <c r="AH63" s="594" t="e">
        <f t="shared" si="63"/>
        <v>#VALUE!</v>
      </c>
      <c r="AI63" s="594" t="e">
        <f t="shared" si="63"/>
        <v>#VALUE!</v>
      </c>
      <c r="AJ63" s="594" t="e">
        <f t="shared" si="63"/>
        <v>#VALUE!</v>
      </c>
      <c r="AK63" s="594" t="e">
        <f t="shared" si="63"/>
        <v>#VALUE!</v>
      </c>
      <c r="AL63" s="595" t="e">
        <f t="shared" si="63"/>
        <v>#VALUE!</v>
      </c>
      <c r="AM63" s="593" t="e">
        <f t="shared" si="46"/>
        <v>#VALUE!</v>
      </c>
      <c r="AN63" s="594" t="e">
        <f t="shared" si="60"/>
        <v>#VALUE!</v>
      </c>
      <c r="AO63" s="594" t="e">
        <f t="shared" si="60"/>
        <v>#VALUE!</v>
      </c>
      <c r="AP63" s="594" t="e">
        <f t="shared" si="60"/>
        <v>#VALUE!</v>
      </c>
      <c r="AQ63" s="594" t="str">
        <f t="shared" si="60"/>
        <v>SOP</v>
      </c>
      <c r="AR63" s="596" t="e">
        <f t="shared" si="60"/>
        <v>#VALUE!</v>
      </c>
      <c r="AS63" s="970"/>
      <c r="AT63" s="644" t="s">
        <v>356</v>
      </c>
      <c r="AU63" s="892" t="s">
        <v>493</v>
      </c>
      <c r="AV63" s="341" t="s">
        <v>356</v>
      </c>
      <c r="AW63" s="624"/>
      <c r="AX63" s="625" t="s">
        <v>3</v>
      </c>
    </row>
    <row r="64" spans="1:50" ht="14.1" customHeight="1" thickBot="1">
      <c r="A64" s="182"/>
      <c r="B64" s="182"/>
      <c r="C64" s="38">
        <v>495</v>
      </c>
      <c r="D64" s="934"/>
      <c r="E64" s="13" t="s">
        <v>39</v>
      </c>
      <c r="F64" s="137" t="s">
        <v>375</v>
      </c>
      <c r="G64" s="35" t="s">
        <v>34</v>
      </c>
      <c r="H64" s="634" t="s">
        <v>92</v>
      </c>
      <c r="I64" s="1036" t="s">
        <v>41</v>
      </c>
      <c r="J64" s="41"/>
      <c r="K64" s="42"/>
      <c r="L64" s="914">
        <v>43028</v>
      </c>
      <c r="M64" s="805">
        <f>RBJP!BA64</f>
        <v>0</v>
      </c>
      <c r="N64" s="805">
        <f>RBJP!BC64</f>
        <v>0</v>
      </c>
      <c r="O64" s="799">
        <f>RBJP!BD64</f>
        <v>0</v>
      </c>
      <c r="P64" s="952"/>
      <c r="Q64" s="815"/>
      <c r="R64" s="815"/>
      <c r="S64" s="816">
        <f>RBJP!BE64</f>
        <v>0</v>
      </c>
      <c r="T64" s="797">
        <f>RBJP!BH64</f>
        <v>0</v>
      </c>
      <c r="U64" s="815"/>
      <c r="V64" s="815"/>
      <c r="W64" s="861" t="s">
        <v>128</v>
      </c>
      <c r="X64" s="815"/>
      <c r="Y64" s="799"/>
      <c r="Z64" s="748"/>
      <c r="AA64" s="622" t="str">
        <f t="shared" si="47"/>
        <v/>
      </c>
      <c r="AB64" s="594" t="str">
        <f t="shared" ref="AB64:AL64" si="64">IF(AND($W64&lt;=AB$3,$W64&gt;AB$3-(AB$3-AA$3)),"SOP",IF(AND($Y64&lt;=AB$3,($Y64+$Z64*31)&gt;=AB$3),"X",""))</f>
        <v/>
      </c>
      <c r="AC64" s="594" t="str">
        <f t="shared" si="64"/>
        <v/>
      </c>
      <c r="AD64" s="594" t="str">
        <f t="shared" si="64"/>
        <v/>
      </c>
      <c r="AE64" s="594" t="str">
        <f t="shared" si="64"/>
        <v/>
      </c>
      <c r="AF64" s="594" t="str">
        <f t="shared" si="64"/>
        <v/>
      </c>
      <c r="AG64" s="594" t="str">
        <f t="shared" si="64"/>
        <v/>
      </c>
      <c r="AH64" s="594" t="str">
        <f t="shared" si="64"/>
        <v/>
      </c>
      <c r="AI64" s="594" t="str">
        <f t="shared" si="64"/>
        <v/>
      </c>
      <c r="AJ64" s="594" t="str">
        <f t="shared" si="64"/>
        <v/>
      </c>
      <c r="AK64" s="594" t="str">
        <f t="shared" si="64"/>
        <v/>
      </c>
      <c r="AL64" s="595" t="str">
        <f t="shared" si="64"/>
        <v/>
      </c>
      <c r="AM64" s="593" t="str">
        <f t="shared" si="46"/>
        <v/>
      </c>
      <c r="AN64" s="594" t="str">
        <f t="shared" si="60"/>
        <v/>
      </c>
      <c r="AO64" s="594" t="str">
        <f t="shared" si="60"/>
        <v/>
      </c>
      <c r="AP64" s="594" t="str">
        <f t="shared" si="60"/>
        <v/>
      </c>
      <c r="AQ64" s="594" t="str">
        <f t="shared" si="60"/>
        <v/>
      </c>
      <c r="AR64" s="596" t="str">
        <f t="shared" si="60"/>
        <v/>
      </c>
      <c r="AS64" s="970"/>
      <c r="AT64" s="644" t="s">
        <v>87</v>
      </c>
      <c r="AU64" s="1051" t="s">
        <v>401</v>
      </c>
      <c r="AV64" s="341"/>
      <c r="AW64" s="624"/>
      <c r="AX64" s="625" t="s">
        <v>3</v>
      </c>
    </row>
    <row r="65" spans="1:50" ht="14.1" customHeight="1" thickBot="1">
      <c r="A65" s="182"/>
      <c r="B65" s="182"/>
      <c r="C65" s="38">
        <v>315</v>
      </c>
      <c r="D65" s="1046"/>
      <c r="E65" s="266" t="s">
        <v>383</v>
      </c>
      <c r="F65" s="137" t="s">
        <v>384</v>
      </c>
      <c r="G65" s="35" t="s">
        <v>34</v>
      </c>
      <c r="H65" s="634" t="s">
        <v>122</v>
      </c>
      <c r="I65" s="1076" t="s">
        <v>41</v>
      </c>
      <c r="J65" s="41"/>
      <c r="K65" s="42"/>
      <c r="L65" s="914">
        <v>43094</v>
      </c>
      <c r="M65" s="791">
        <f>RBJP!BA65</f>
        <v>0</v>
      </c>
      <c r="N65" s="791">
        <f>RBJP!BC65</f>
        <v>0</v>
      </c>
      <c r="O65" s="798">
        <f>RBJP!BD65</f>
        <v>0</v>
      </c>
      <c r="P65" s="1005">
        <v>43096</v>
      </c>
      <c r="Q65" s="791">
        <v>43125</v>
      </c>
      <c r="R65" s="791">
        <v>43160</v>
      </c>
      <c r="S65" s="816">
        <f>RBJP!BE65</f>
        <v>43165</v>
      </c>
      <c r="T65" s="797">
        <f>RBJP!BH65</f>
        <v>0</v>
      </c>
      <c r="U65" s="815">
        <v>43174</v>
      </c>
      <c r="V65" s="815"/>
      <c r="W65" s="815">
        <v>43191</v>
      </c>
      <c r="X65" s="815"/>
      <c r="Y65" s="799"/>
      <c r="Z65" s="748"/>
      <c r="AA65" s="622" t="str">
        <f t="shared" si="47"/>
        <v/>
      </c>
      <c r="AB65" s="594" t="str">
        <f t="shared" ref="AB65:AL65" si="65">IF(AND($W65&lt;=AB$3,$W65&gt;AB$3-(AB$3-AA$3)),"SOP",IF(AND($Y65&lt;=AB$3,($Y65+$Z65*31)&gt;=AB$3),"X",""))</f>
        <v/>
      </c>
      <c r="AC65" s="594" t="str">
        <f t="shared" si="65"/>
        <v/>
      </c>
      <c r="AD65" s="594" t="str">
        <f t="shared" si="65"/>
        <v/>
      </c>
      <c r="AE65" s="594" t="str">
        <f t="shared" si="65"/>
        <v/>
      </c>
      <c r="AF65" s="594" t="str">
        <f t="shared" si="65"/>
        <v/>
      </c>
      <c r="AG65" s="594" t="str">
        <f t="shared" si="65"/>
        <v/>
      </c>
      <c r="AH65" s="594" t="str">
        <f t="shared" si="65"/>
        <v/>
      </c>
      <c r="AI65" s="594" t="str">
        <f t="shared" si="65"/>
        <v/>
      </c>
      <c r="AJ65" s="594" t="str">
        <f t="shared" si="65"/>
        <v/>
      </c>
      <c r="AK65" s="594" t="str">
        <f t="shared" si="65"/>
        <v/>
      </c>
      <c r="AL65" s="595" t="str">
        <f t="shared" si="65"/>
        <v/>
      </c>
      <c r="AM65" s="593" t="str">
        <f t="shared" si="46"/>
        <v/>
      </c>
      <c r="AN65" s="594" t="str">
        <f t="shared" si="60"/>
        <v/>
      </c>
      <c r="AO65" s="594" t="str">
        <f t="shared" si="60"/>
        <v/>
      </c>
      <c r="AP65" s="594" t="str">
        <f t="shared" si="60"/>
        <v>SOP</v>
      </c>
      <c r="AQ65" s="594" t="str">
        <f t="shared" si="60"/>
        <v/>
      </c>
      <c r="AR65" s="596" t="str">
        <f t="shared" si="60"/>
        <v/>
      </c>
      <c r="AS65" s="970"/>
      <c r="AT65" s="644" t="s">
        <v>53</v>
      </c>
      <c r="AU65" s="893" t="s">
        <v>494</v>
      </c>
      <c r="AV65" s="341" t="s">
        <v>53</v>
      </c>
      <c r="AW65" s="624"/>
      <c r="AX65" s="625" t="s">
        <v>3</v>
      </c>
    </row>
    <row r="66" spans="1:50" ht="14.1" customHeight="1" thickBot="1">
      <c r="A66" s="182"/>
      <c r="B66" s="182"/>
      <c r="C66" s="38">
        <v>465</v>
      </c>
      <c r="D66" s="958"/>
      <c r="E66" s="957" t="s">
        <v>80</v>
      </c>
      <c r="F66" s="28" t="s">
        <v>386</v>
      </c>
      <c r="G66" s="35" t="s">
        <v>34</v>
      </c>
      <c r="H66" s="634" t="s">
        <v>385</v>
      </c>
      <c r="I66" s="1032" t="s">
        <v>77</v>
      </c>
      <c r="J66" s="41"/>
      <c r="K66" s="42"/>
      <c r="L66" s="914">
        <v>43041</v>
      </c>
      <c r="M66" s="791">
        <f>RBJP!BA66</f>
        <v>43046</v>
      </c>
      <c r="N66" s="791">
        <f>RBJP!BC66</f>
        <v>43069</v>
      </c>
      <c r="O66" s="798">
        <f>RBJP!BD66</f>
        <v>43076</v>
      </c>
      <c r="P66" s="1005">
        <v>43077</v>
      </c>
      <c r="Q66" s="799">
        <v>43234</v>
      </c>
      <c r="R66" s="815">
        <v>43262</v>
      </c>
      <c r="S66" s="816">
        <f>RBJP!BE66</f>
        <v>0</v>
      </c>
      <c r="T66" s="797">
        <f>RBJP!BH66</f>
        <v>0</v>
      </c>
      <c r="U66" s="815">
        <v>43297</v>
      </c>
      <c r="V66" s="815"/>
      <c r="W66" s="815">
        <v>43297</v>
      </c>
      <c r="X66" s="815"/>
      <c r="Y66" s="799">
        <v>43325</v>
      </c>
      <c r="Z66" s="748"/>
      <c r="AA66" s="622" t="str">
        <f t="shared" si="47"/>
        <v/>
      </c>
      <c r="AB66" s="594" t="str">
        <f t="shared" ref="AB66:AL66" si="66">IF(AND($W66&lt;=AB$3,$W66&gt;AB$3-(AB$3-AA$3)),"SOP",IF(AND($Y66&lt;=AB$3,($Y66+$Z66*31)&gt;=AB$3),"X",""))</f>
        <v/>
      </c>
      <c r="AC66" s="594" t="str">
        <f t="shared" si="66"/>
        <v/>
      </c>
      <c r="AD66" s="594" t="str">
        <f t="shared" si="66"/>
        <v/>
      </c>
      <c r="AE66" s="594" t="str">
        <f t="shared" si="66"/>
        <v/>
      </c>
      <c r="AF66" s="594" t="str">
        <f t="shared" si="66"/>
        <v/>
      </c>
      <c r="AG66" s="594" t="str">
        <f t="shared" si="66"/>
        <v/>
      </c>
      <c r="AH66" s="594" t="str">
        <f t="shared" si="66"/>
        <v/>
      </c>
      <c r="AI66" s="594" t="str">
        <f t="shared" si="66"/>
        <v/>
      </c>
      <c r="AJ66" s="594" t="str">
        <f t="shared" si="66"/>
        <v/>
      </c>
      <c r="AK66" s="594" t="str">
        <f t="shared" si="66"/>
        <v/>
      </c>
      <c r="AL66" s="595" t="str">
        <f t="shared" si="66"/>
        <v/>
      </c>
      <c r="AM66" s="593" t="str">
        <f t="shared" si="46"/>
        <v/>
      </c>
      <c r="AN66" s="594" t="str">
        <f t="shared" si="60"/>
        <v/>
      </c>
      <c r="AO66" s="594" t="str">
        <f t="shared" si="60"/>
        <v/>
      </c>
      <c r="AP66" s="594" t="str">
        <f t="shared" si="60"/>
        <v/>
      </c>
      <c r="AQ66" s="594" t="str">
        <f t="shared" si="60"/>
        <v/>
      </c>
      <c r="AR66" s="596" t="str">
        <f t="shared" si="60"/>
        <v/>
      </c>
      <c r="AS66" s="970"/>
      <c r="AT66" s="644" t="s">
        <v>38</v>
      </c>
      <c r="AU66" s="960" t="s">
        <v>416</v>
      </c>
      <c r="AV66" s="341"/>
      <c r="AW66" s="624"/>
      <c r="AX66" s="625" t="s">
        <v>3</v>
      </c>
    </row>
    <row r="67" spans="1:50" ht="14.1" customHeight="1" thickBot="1">
      <c r="A67" s="182"/>
      <c r="B67" s="182"/>
      <c r="C67" s="38">
        <v>524</v>
      </c>
      <c r="D67" s="958" t="s">
        <v>31</v>
      </c>
      <c r="E67" s="22" t="s">
        <v>346</v>
      </c>
      <c r="F67" s="28" t="s">
        <v>398</v>
      </c>
      <c r="G67" s="592" t="s">
        <v>165</v>
      </c>
      <c r="H67" s="724" t="s">
        <v>92</v>
      </c>
      <c r="I67" s="953"/>
      <c r="J67" s="954"/>
      <c r="K67" s="955"/>
      <c r="L67" s="1014">
        <v>43055</v>
      </c>
      <c r="M67" s="791">
        <f>RBJP!BA67</f>
        <v>0</v>
      </c>
      <c r="N67" s="791">
        <f>RBJP!BC67</f>
        <v>43056</v>
      </c>
      <c r="O67" s="798">
        <f>RBJP!BD67</f>
        <v>43056</v>
      </c>
      <c r="P67" s="1015">
        <v>43056</v>
      </c>
      <c r="Q67" s="791"/>
      <c r="R67" s="791">
        <v>43059</v>
      </c>
      <c r="S67" s="791"/>
      <c r="T67" s="797">
        <f>RBJP!BH67</f>
        <v>0</v>
      </c>
      <c r="U67" s="791">
        <v>43061</v>
      </c>
      <c r="V67" s="815"/>
      <c r="W67" s="815"/>
      <c r="X67" s="815"/>
      <c r="Y67" s="799"/>
      <c r="Z67" s="748"/>
      <c r="AA67" s="622" t="str">
        <f t="shared" si="47"/>
        <v/>
      </c>
      <c r="AB67" s="594" t="str">
        <f t="shared" ref="AB67:AL67" si="67">IF(AND($W67&lt;=AB$3,$W67&gt;AB$3-(AB$3-AA$3)),"SOP",IF(AND($Y67&lt;=AB$3,($Y67+$Z67*31)&gt;=AB$3),"X",""))</f>
        <v/>
      </c>
      <c r="AC67" s="594" t="str">
        <f t="shared" si="67"/>
        <v/>
      </c>
      <c r="AD67" s="594" t="str">
        <f t="shared" si="67"/>
        <v/>
      </c>
      <c r="AE67" s="594" t="str">
        <f t="shared" si="67"/>
        <v/>
      </c>
      <c r="AF67" s="594" t="str">
        <f t="shared" si="67"/>
        <v/>
      </c>
      <c r="AG67" s="594" t="str">
        <f t="shared" si="67"/>
        <v/>
      </c>
      <c r="AH67" s="594" t="str">
        <f t="shared" si="67"/>
        <v/>
      </c>
      <c r="AI67" s="594" t="str">
        <f t="shared" si="67"/>
        <v/>
      </c>
      <c r="AJ67" s="594" t="str">
        <f t="shared" si="67"/>
        <v/>
      </c>
      <c r="AK67" s="594" t="str">
        <f t="shared" si="67"/>
        <v/>
      </c>
      <c r="AL67" s="595" t="str">
        <f t="shared" si="67"/>
        <v/>
      </c>
      <c r="AM67" s="593" t="str">
        <f t="shared" si="46"/>
        <v/>
      </c>
      <c r="AN67" s="594" t="str">
        <f t="shared" si="60"/>
        <v/>
      </c>
      <c r="AO67" s="594" t="str">
        <f t="shared" si="60"/>
        <v/>
      </c>
      <c r="AP67" s="594" t="str">
        <f t="shared" si="60"/>
        <v/>
      </c>
      <c r="AQ67" s="594" t="str">
        <f t="shared" si="60"/>
        <v/>
      </c>
      <c r="AR67" s="596" t="str">
        <f t="shared" si="60"/>
        <v/>
      </c>
      <c r="AS67" s="970"/>
      <c r="AT67" s="956" t="s">
        <v>119</v>
      </c>
      <c r="AU67" s="1030" t="s">
        <v>410</v>
      </c>
      <c r="AV67" s="341"/>
      <c r="AW67" s="624"/>
      <c r="AX67" s="625"/>
    </row>
    <row r="68" spans="1:50" ht="14.1" customHeight="1" thickBot="1">
      <c r="A68" s="182"/>
      <c r="B68" s="182"/>
      <c r="C68" s="38">
        <v>525</v>
      </c>
      <c r="D68" s="958"/>
      <c r="E68" s="22" t="s">
        <v>346</v>
      </c>
      <c r="F68" s="28" t="s">
        <v>399</v>
      </c>
      <c r="G68" s="592" t="s">
        <v>165</v>
      </c>
      <c r="H68" s="724" t="s">
        <v>92</v>
      </c>
      <c r="I68" s="1037"/>
      <c r="J68" s="954"/>
      <c r="K68" s="955"/>
      <c r="L68" s="1014">
        <v>43056</v>
      </c>
      <c r="M68" s="815">
        <f>RBJP!BA68</f>
        <v>0</v>
      </c>
      <c r="N68" s="815">
        <f>RBJP!BC68</f>
        <v>43059</v>
      </c>
      <c r="O68" s="799">
        <f>RBJP!BD68</f>
        <v>43059</v>
      </c>
      <c r="P68" s="959"/>
      <c r="Q68" s="815"/>
      <c r="R68" s="815"/>
      <c r="S68" s="816">
        <f>RBJP!BE68</f>
        <v>0</v>
      </c>
      <c r="T68" s="797">
        <f>RBJP!BH68</f>
        <v>0</v>
      </c>
      <c r="U68" s="815"/>
      <c r="V68" s="815"/>
      <c r="W68" s="815"/>
      <c r="X68" s="815"/>
      <c r="Y68" s="799"/>
      <c r="Z68" s="748"/>
      <c r="AA68" s="622" t="str">
        <f t="shared" si="47"/>
        <v/>
      </c>
      <c r="AB68" s="594" t="str">
        <f t="shared" ref="AB68:AL68" si="68">IF(AND($W68&lt;=AB$3,$W68&gt;AB$3-(AB$3-AA$3)),"SOP",IF(AND($Y68&lt;=AB$3,($Y68+$Z68*31)&gt;=AB$3),"X",""))</f>
        <v/>
      </c>
      <c r="AC68" s="594" t="str">
        <f t="shared" si="68"/>
        <v/>
      </c>
      <c r="AD68" s="594" t="str">
        <f t="shared" si="68"/>
        <v/>
      </c>
      <c r="AE68" s="594" t="str">
        <f t="shared" si="68"/>
        <v/>
      </c>
      <c r="AF68" s="594" t="str">
        <f t="shared" si="68"/>
        <v/>
      </c>
      <c r="AG68" s="594" t="str">
        <f t="shared" si="68"/>
        <v/>
      </c>
      <c r="AH68" s="594" t="str">
        <f t="shared" si="68"/>
        <v/>
      </c>
      <c r="AI68" s="594" t="str">
        <f t="shared" si="68"/>
        <v/>
      </c>
      <c r="AJ68" s="594" t="str">
        <f t="shared" si="68"/>
        <v/>
      </c>
      <c r="AK68" s="594" t="str">
        <f t="shared" si="68"/>
        <v/>
      </c>
      <c r="AL68" s="595" t="str">
        <f t="shared" si="68"/>
        <v/>
      </c>
      <c r="AM68" s="593" t="str">
        <f t="shared" si="46"/>
        <v/>
      </c>
      <c r="AN68" s="594" t="str">
        <f t="shared" si="60"/>
        <v/>
      </c>
      <c r="AO68" s="594" t="str">
        <f t="shared" si="60"/>
        <v/>
      </c>
      <c r="AP68" s="594" t="str">
        <f t="shared" si="60"/>
        <v/>
      </c>
      <c r="AQ68" s="594" t="str">
        <f t="shared" si="60"/>
        <v/>
      </c>
      <c r="AR68" s="596" t="str">
        <f t="shared" si="60"/>
        <v/>
      </c>
      <c r="AS68" s="970"/>
      <c r="AT68" s="956" t="s">
        <v>119</v>
      </c>
      <c r="AU68" s="1031" t="s">
        <v>411</v>
      </c>
      <c r="AV68" s="341"/>
      <c r="AW68" s="624"/>
      <c r="AX68" s="625"/>
    </row>
    <row r="69" spans="1:50" ht="14.1" customHeight="1" thickBot="1">
      <c r="A69" s="182"/>
      <c r="B69" s="182"/>
      <c r="C69" s="38">
        <v>526</v>
      </c>
      <c r="D69" s="958" t="s">
        <v>31</v>
      </c>
      <c r="E69" s="22" t="s">
        <v>346</v>
      </c>
      <c r="F69" s="28" t="s">
        <v>400</v>
      </c>
      <c r="G69" s="592" t="s">
        <v>165</v>
      </c>
      <c r="H69" s="724" t="s">
        <v>92</v>
      </c>
      <c r="I69" s="953"/>
      <c r="J69" s="954"/>
      <c r="K69" s="955"/>
      <c r="L69" s="1014">
        <v>43059</v>
      </c>
      <c r="M69" s="791">
        <f>RBJP!BA69</f>
        <v>0</v>
      </c>
      <c r="N69" s="791">
        <f>RBJP!BC69</f>
        <v>43060</v>
      </c>
      <c r="O69" s="798">
        <f>RBJP!BD69</f>
        <v>43060</v>
      </c>
      <c r="P69" s="1015">
        <v>43075</v>
      </c>
      <c r="Q69" s="791"/>
      <c r="R69" s="791">
        <v>43075</v>
      </c>
      <c r="S69" s="791"/>
      <c r="T69" s="797">
        <f>RBJP!BH69</f>
        <v>0</v>
      </c>
      <c r="U69" s="791">
        <v>43077</v>
      </c>
      <c r="V69" s="815"/>
      <c r="W69" s="815"/>
      <c r="X69" s="815"/>
      <c r="Y69" s="799"/>
      <c r="Z69" s="748"/>
      <c r="AA69" s="622" t="str">
        <f t="shared" si="47"/>
        <v/>
      </c>
      <c r="AB69" s="594" t="str">
        <f t="shared" ref="AB69:AL69" si="69">IF(AND($W69&lt;=AB$3,$W69&gt;AB$3-(AB$3-AA$3)),"SOP",IF(AND($Y69&lt;=AB$3,($Y69+$Z69*31)&gt;=AB$3),"X",""))</f>
        <v/>
      </c>
      <c r="AC69" s="594" t="str">
        <f t="shared" si="69"/>
        <v/>
      </c>
      <c r="AD69" s="594" t="str">
        <f t="shared" si="69"/>
        <v/>
      </c>
      <c r="AE69" s="594" t="str">
        <f t="shared" si="69"/>
        <v/>
      </c>
      <c r="AF69" s="594" t="str">
        <f t="shared" si="69"/>
        <v/>
      </c>
      <c r="AG69" s="594" t="str">
        <f t="shared" si="69"/>
        <v/>
      </c>
      <c r="AH69" s="594" t="str">
        <f t="shared" si="69"/>
        <v/>
      </c>
      <c r="AI69" s="594" t="str">
        <f t="shared" si="69"/>
        <v/>
      </c>
      <c r="AJ69" s="594" t="str">
        <f t="shared" si="69"/>
        <v/>
      </c>
      <c r="AK69" s="594" t="str">
        <f t="shared" si="69"/>
        <v/>
      </c>
      <c r="AL69" s="595" t="str">
        <f t="shared" si="69"/>
        <v/>
      </c>
      <c r="AM69" s="593" t="str">
        <f t="shared" si="46"/>
        <v/>
      </c>
      <c r="AN69" s="594" t="str">
        <f t="shared" si="60"/>
        <v/>
      </c>
      <c r="AO69" s="594" t="str">
        <f t="shared" si="60"/>
        <v/>
      </c>
      <c r="AP69" s="594" t="str">
        <f t="shared" si="60"/>
        <v/>
      </c>
      <c r="AQ69" s="594" t="str">
        <f t="shared" si="60"/>
        <v/>
      </c>
      <c r="AR69" s="596" t="str">
        <f t="shared" si="60"/>
        <v/>
      </c>
      <c r="AS69" s="970"/>
      <c r="AT69" s="956" t="s">
        <v>119</v>
      </c>
      <c r="AU69" s="1030" t="s">
        <v>412</v>
      </c>
      <c r="AV69" s="341"/>
      <c r="AW69" s="624"/>
      <c r="AX69" s="625"/>
    </row>
    <row r="70" spans="1:50" ht="14.1" customHeight="1" thickBot="1">
      <c r="A70" s="182"/>
      <c r="B70" s="182"/>
      <c r="C70" s="38">
        <v>527</v>
      </c>
      <c r="D70" s="958"/>
      <c r="E70" s="22" t="s">
        <v>346</v>
      </c>
      <c r="F70" s="28" t="s">
        <v>424</v>
      </c>
      <c r="G70" s="592" t="s">
        <v>34</v>
      </c>
      <c r="H70" s="724" t="s">
        <v>92</v>
      </c>
      <c r="I70" s="1037"/>
      <c r="J70" s="954"/>
      <c r="K70" s="955"/>
      <c r="L70" s="911"/>
      <c r="M70" s="815">
        <f>RBJP!BA70</f>
        <v>0</v>
      </c>
      <c r="N70" s="815">
        <f>RBJP!BC70</f>
        <v>43094</v>
      </c>
      <c r="O70" s="799">
        <f>RBJP!BD70</f>
        <v>43095</v>
      </c>
      <c r="P70" s="959"/>
      <c r="Q70" s="815"/>
      <c r="R70" s="815"/>
      <c r="S70" s="816">
        <f>RBJP!BE70</f>
        <v>42747</v>
      </c>
      <c r="T70" s="797">
        <f>RBJP!BH70</f>
        <v>0</v>
      </c>
      <c r="U70" s="815"/>
      <c r="V70" s="815"/>
      <c r="W70" s="815"/>
      <c r="X70" s="815"/>
      <c r="Y70" s="799"/>
      <c r="Z70" s="748"/>
      <c r="AA70" s="622" t="str">
        <f t="shared" si="47"/>
        <v/>
      </c>
      <c r="AB70" s="594" t="str">
        <f t="shared" ref="AB70:AL70" si="70">IF(AND($W70&lt;=AB$3,$W70&gt;AB$3-(AB$3-AA$3)),"SOP",IF(AND($Y70&lt;=AB$3,($Y70+$Z70*31)&gt;=AB$3),"X",""))</f>
        <v/>
      </c>
      <c r="AC70" s="594" t="str">
        <f t="shared" si="70"/>
        <v/>
      </c>
      <c r="AD70" s="594" t="str">
        <f t="shared" si="70"/>
        <v/>
      </c>
      <c r="AE70" s="594" t="str">
        <f t="shared" si="70"/>
        <v/>
      </c>
      <c r="AF70" s="594" t="str">
        <f t="shared" si="70"/>
        <v/>
      </c>
      <c r="AG70" s="594" t="str">
        <f t="shared" si="70"/>
        <v/>
      </c>
      <c r="AH70" s="594" t="str">
        <f t="shared" si="70"/>
        <v/>
      </c>
      <c r="AI70" s="594" t="str">
        <f t="shared" si="70"/>
        <v/>
      </c>
      <c r="AJ70" s="594" t="str">
        <f t="shared" si="70"/>
        <v/>
      </c>
      <c r="AK70" s="594" t="str">
        <f t="shared" si="70"/>
        <v/>
      </c>
      <c r="AL70" s="595" t="str">
        <f t="shared" si="70"/>
        <v/>
      </c>
      <c r="AM70" s="593" t="str">
        <f t="shared" si="46"/>
        <v/>
      </c>
      <c r="AN70" s="594" t="str">
        <f t="shared" ref="AN70:AR79" si="71">IF(AND($W70&lt;=AN$3,$W70&gt;AN$3-(AN$3-AM$3)),"SOP",IF(AND($Y70&lt;=AN$3,($Y70+$Z70*31)&gt;=AN$3),"X",""))</f>
        <v/>
      </c>
      <c r="AO70" s="594" t="str">
        <f t="shared" si="71"/>
        <v/>
      </c>
      <c r="AP70" s="594" t="str">
        <f t="shared" si="71"/>
        <v/>
      </c>
      <c r="AQ70" s="594" t="str">
        <f t="shared" si="71"/>
        <v/>
      </c>
      <c r="AR70" s="596" t="str">
        <f t="shared" si="71"/>
        <v/>
      </c>
      <c r="AS70" s="970"/>
      <c r="AT70" s="644"/>
      <c r="AU70" s="1055" t="s">
        <v>427</v>
      </c>
      <c r="AV70" s="341"/>
      <c r="AW70" s="624"/>
      <c r="AX70" s="625"/>
    </row>
    <row r="71" spans="1:50" ht="14.1" customHeight="1" thickBot="1">
      <c r="A71" s="182"/>
      <c r="B71" s="182"/>
      <c r="C71" s="38">
        <v>534</v>
      </c>
      <c r="D71" s="958"/>
      <c r="E71" s="22" t="s">
        <v>383</v>
      </c>
      <c r="F71" s="28" t="s">
        <v>432</v>
      </c>
      <c r="G71" s="592" t="s">
        <v>34</v>
      </c>
      <c r="H71" s="724" t="s">
        <v>116</v>
      </c>
      <c r="I71" s="1076" t="s">
        <v>41</v>
      </c>
      <c r="J71" s="954"/>
      <c r="K71" s="955"/>
      <c r="L71" s="911"/>
      <c r="M71" s="815">
        <f>RBJP!BA71</f>
        <v>0</v>
      </c>
      <c r="N71" s="815">
        <f>RBJP!BC71</f>
        <v>0</v>
      </c>
      <c r="O71" s="799">
        <f>RBJP!BD71</f>
        <v>0</v>
      </c>
      <c r="P71" s="959"/>
      <c r="Q71" s="815"/>
      <c r="R71" s="815"/>
      <c r="S71" s="816">
        <f>RBJP!BE71</f>
        <v>0</v>
      </c>
      <c r="T71" s="797">
        <f>RBJP!BH71</f>
        <v>0</v>
      </c>
      <c r="U71" s="815"/>
      <c r="V71" s="815"/>
      <c r="W71" s="815">
        <v>43466</v>
      </c>
      <c r="X71" s="815"/>
      <c r="Y71" s="799"/>
      <c r="Z71" s="748"/>
      <c r="AA71" s="622" t="str">
        <f t="shared" si="47"/>
        <v/>
      </c>
      <c r="AB71" s="594" t="str">
        <f t="shared" ref="AB71:AL71" si="72">IF(AND($W71&lt;=AB$3,$W71&gt;AB$3-(AB$3-AA$3)),"SOP",IF(AND($Y71&lt;=AB$3,($Y71+$Z71*31)&gt;=AB$3),"X",""))</f>
        <v/>
      </c>
      <c r="AC71" s="594" t="str">
        <f t="shared" si="72"/>
        <v/>
      </c>
      <c r="AD71" s="594" t="str">
        <f t="shared" si="72"/>
        <v/>
      </c>
      <c r="AE71" s="594" t="str">
        <f t="shared" si="72"/>
        <v/>
      </c>
      <c r="AF71" s="594" t="str">
        <f t="shared" si="72"/>
        <v/>
      </c>
      <c r="AG71" s="594" t="str">
        <f t="shared" si="72"/>
        <v/>
      </c>
      <c r="AH71" s="594" t="str">
        <f t="shared" si="72"/>
        <v/>
      </c>
      <c r="AI71" s="594" t="str">
        <f t="shared" si="72"/>
        <v/>
      </c>
      <c r="AJ71" s="594" t="str">
        <f t="shared" si="72"/>
        <v/>
      </c>
      <c r="AK71" s="594" t="str">
        <f t="shared" si="72"/>
        <v/>
      </c>
      <c r="AL71" s="595" t="str">
        <f t="shared" si="72"/>
        <v/>
      </c>
      <c r="AM71" s="593" t="str">
        <f t="shared" si="46"/>
        <v/>
      </c>
      <c r="AN71" s="594" t="str">
        <f t="shared" si="71"/>
        <v/>
      </c>
      <c r="AO71" s="594" t="str">
        <f t="shared" si="71"/>
        <v/>
      </c>
      <c r="AP71" s="594" t="str">
        <f t="shared" si="71"/>
        <v/>
      </c>
      <c r="AQ71" s="594" t="str">
        <f t="shared" si="71"/>
        <v/>
      </c>
      <c r="AR71" s="596" t="str">
        <f t="shared" si="71"/>
        <v/>
      </c>
      <c r="AS71" s="970"/>
      <c r="AT71" s="644" t="s">
        <v>87</v>
      </c>
      <c r="AU71" s="1050" t="s">
        <v>429</v>
      </c>
      <c r="AV71" s="341"/>
      <c r="AW71" s="624"/>
      <c r="AX71" s="625"/>
    </row>
    <row r="72" spans="1:50" ht="14.1" customHeight="1" thickBot="1">
      <c r="A72" s="182"/>
      <c r="B72" s="182"/>
      <c r="C72" s="110">
        <v>370</v>
      </c>
      <c r="D72" s="958"/>
      <c r="E72" s="22" t="s">
        <v>57</v>
      </c>
      <c r="F72" s="1053" t="s">
        <v>430</v>
      </c>
      <c r="G72" s="592" t="s">
        <v>34</v>
      </c>
      <c r="H72" s="724" t="s">
        <v>122</v>
      </c>
      <c r="I72" s="1076" t="s">
        <v>41</v>
      </c>
      <c r="J72" s="954"/>
      <c r="K72" s="955"/>
      <c r="L72" s="1014">
        <v>43140</v>
      </c>
      <c r="M72" s="815">
        <f>RBJP!BA72</f>
        <v>0</v>
      </c>
      <c r="N72" s="815">
        <f>RBJP!BC72</f>
        <v>43180</v>
      </c>
      <c r="O72" s="799">
        <f>RBJP!BD72</f>
        <v>43180</v>
      </c>
      <c r="P72" s="959">
        <v>43174</v>
      </c>
      <c r="Q72" s="1056">
        <v>43213</v>
      </c>
      <c r="R72" s="1056">
        <v>43280</v>
      </c>
      <c r="S72" s="816">
        <f>RBJP!BE72</f>
        <v>43297</v>
      </c>
      <c r="T72" s="797">
        <f>RBJP!BH72</f>
        <v>0</v>
      </c>
      <c r="U72" s="815">
        <v>43308</v>
      </c>
      <c r="V72" s="815"/>
      <c r="W72" s="815">
        <v>43313</v>
      </c>
      <c r="X72" s="815"/>
      <c r="Y72" s="799"/>
      <c r="Z72" s="748"/>
      <c r="AA72" s="622" t="str">
        <f t="shared" si="47"/>
        <v/>
      </c>
      <c r="AB72" s="594" t="str">
        <f t="shared" ref="AB72:AL72" si="73">IF(AND($W72&lt;=AB$3,$W72&gt;AB$3-(AB$3-AA$3)),"SOP",IF(AND($Y72&lt;=AB$3,($Y72+$Z72*31)&gt;=AB$3),"X",""))</f>
        <v/>
      </c>
      <c r="AC72" s="594" t="str">
        <f t="shared" si="73"/>
        <v/>
      </c>
      <c r="AD72" s="594" t="str">
        <f t="shared" si="73"/>
        <v/>
      </c>
      <c r="AE72" s="594" t="str">
        <f t="shared" si="73"/>
        <v/>
      </c>
      <c r="AF72" s="594" t="str">
        <f t="shared" si="73"/>
        <v/>
      </c>
      <c r="AG72" s="594" t="str">
        <f t="shared" si="73"/>
        <v/>
      </c>
      <c r="AH72" s="594" t="str">
        <f t="shared" si="73"/>
        <v/>
      </c>
      <c r="AI72" s="594" t="str">
        <f t="shared" si="73"/>
        <v/>
      </c>
      <c r="AJ72" s="594" t="str">
        <f t="shared" si="73"/>
        <v/>
      </c>
      <c r="AK72" s="594" t="str">
        <f t="shared" si="73"/>
        <v/>
      </c>
      <c r="AL72" s="595" t="str">
        <f t="shared" si="73"/>
        <v/>
      </c>
      <c r="AM72" s="593" t="str">
        <f t="shared" si="46"/>
        <v/>
      </c>
      <c r="AN72" s="594" t="str">
        <f t="shared" si="71"/>
        <v/>
      </c>
      <c r="AO72" s="594" t="str">
        <f t="shared" si="71"/>
        <v/>
      </c>
      <c r="AP72" s="594" t="str">
        <f t="shared" si="71"/>
        <v/>
      </c>
      <c r="AQ72" s="594" t="str">
        <f t="shared" si="71"/>
        <v/>
      </c>
      <c r="AR72" s="596" t="str">
        <f t="shared" si="71"/>
        <v/>
      </c>
      <c r="AS72" s="970"/>
      <c r="AT72" s="644" t="s">
        <v>87</v>
      </c>
      <c r="AU72" s="1050" t="s">
        <v>490</v>
      </c>
      <c r="AV72" s="341"/>
      <c r="AW72" s="624"/>
      <c r="AX72" s="625"/>
    </row>
    <row r="73" spans="1:50" ht="14.1" customHeight="1" thickBot="1">
      <c r="A73" s="182"/>
      <c r="B73" s="182"/>
      <c r="C73" s="38">
        <v>280</v>
      </c>
      <c r="D73" s="958"/>
      <c r="E73" s="22" t="s">
        <v>134</v>
      </c>
      <c r="F73" s="1053" t="s">
        <v>446</v>
      </c>
      <c r="G73" s="592" t="s">
        <v>68</v>
      </c>
      <c r="H73" s="724" t="s">
        <v>69</v>
      </c>
      <c r="I73" s="1036" t="s">
        <v>41</v>
      </c>
      <c r="J73" s="954"/>
      <c r="K73" s="955"/>
      <c r="L73" s="911"/>
      <c r="M73" s="815">
        <f>RBJP!BA73</f>
        <v>0</v>
      </c>
      <c r="N73" s="815">
        <f>RBJP!BC73</f>
        <v>0</v>
      </c>
      <c r="O73" s="799">
        <f>RBJP!BD73</f>
        <v>0</v>
      </c>
      <c r="P73" s="959"/>
      <c r="Q73" s="815"/>
      <c r="R73" s="815"/>
      <c r="S73" s="816">
        <f>RBJP!BE73</f>
        <v>0</v>
      </c>
      <c r="T73" s="797">
        <f>RBJP!BH73</f>
        <v>0</v>
      </c>
      <c r="U73" s="815"/>
      <c r="V73" s="815"/>
      <c r="W73" s="815">
        <v>43435</v>
      </c>
      <c r="X73" s="815"/>
      <c r="Y73" s="799"/>
      <c r="Z73" s="748"/>
      <c r="AA73" s="622" t="str">
        <f t="shared" si="47"/>
        <v/>
      </c>
      <c r="AB73" s="594" t="str">
        <f t="shared" ref="AB73:AL73" si="74">IF(AND($W73&lt;=AB$3,$W73&gt;AB$3-(AB$3-AA$3)),"SOP",IF(AND($Y73&lt;=AB$3,($Y73+$Z73*31)&gt;=AB$3),"X",""))</f>
        <v/>
      </c>
      <c r="AC73" s="594" t="str">
        <f t="shared" si="74"/>
        <v/>
      </c>
      <c r="AD73" s="594" t="str">
        <f t="shared" si="74"/>
        <v/>
      </c>
      <c r="AE73" s="594" t="str">
        <f t="shared" si="74"/>
        <v/>
      </c>
      <c r="AF73" s="594" t="str">
        <f t="shared" si="74"/>
        <v/>
      </c>
      <c r="AG73" s="594" t="str">
        <f t="shared" si="74"/>
        <v/>
      </c>
      <c r="AH73" s="594" t="str">
        <f t="shared" si="74"/>
        <v/>
      </c>
      <c r="AI73" s="594" t="str">
        <f t="shared" si="74"/>
        <v/>
      </c>
      <c r="AJ73" s="594" t="str">
        <f t="shared" si="74"/>
        <v/>
      </c>
      <c r="AK73" s="594" t="str">
        <f t="shared" si="74"/>
        <v/>
      </c>
      <c r="AL73" s="595" t="str">
        <f t="shared" si="74"/>
        <v/>
      </c>
      <c r="AM73" s="593" t="str">
        <f t="shared" si="46"/>
        <v/>
      </c>
      <c r="AN73" s="594" t="str">
        <f t="shared" si="71"/>
        <v/>
      </c>
      <c r="AO73" s="594" t="str">
        <f t="shared" si="71"/>
        <v/>
      </c>
      <c r="AP73" s="594" t="str">
        <f t="shared" si="71"/>
        <v/>
      </c>
      <c r="AQ73" s="594" t="str">
        <f t="shared" si="71"/>
        <v/>
      </c>
      <c r="AR73" s="596" t="str">
        <f t="shared" si="71"/>
        <v/>
      </c>
      <c r="AS73" s="970"/>
      <c r="AT73" s="644" t="s">
        <v>347</v>
      </c>
      <c r="AU73" s="1050" t="s">
        <v>488</v>
      </c>
      <c r="AV73" s="341" t="s">
        <v>322</v>
      </c>
      <c r="AW73" s="624"/>
      <c r="AX73" s="625"/>
    </row>
    <row r="74" spans="1:50" ht="14.1" customHeight="1" thickBot="1">
      <c r="A74" s="184"/>
      <c r="B74" s="182"/>
      <c r="C74" s="626">
        <v>496</v>
      </c>
      <c r="D74" s="1115">
        <v>43157</v>
      </c>
      <c r="E74" s="143" t="s">
        <v>436</v>
      </c>
      <c r="F74" s="1112" t="s">
        <v>438</v>
      </c>
      <c r="G74" s="134" t="s">
        <v>34</v>
      </c>
      <c r="H74" s="627" t="s">
        <v>69</v>
      </c>
      <c r="I74" s="1082"/>
      <c r="J74" s="954"/>
      <c r="K74" s="955"/>
      <c r="L74" s="1108"/>
      <c r="M74" s="815">
        <f>RBJP!BA74</f>
        <v>0</v>
      </c>
      <c r="N74" s="824">
        <f>RBJP!BC74</f>
        <v>0</v>
      </c>
      <c r="O74" s="824">
        <f>RBJP!BD74</f>
        <v>0</v>
      </c>
      <c r="P74" s="1113"/>
      <c r="Q74" s="824"/>
      <c r="R74" s="824"/>
      <c r="S74" s="825">
        <f>RBJP!BE74</f>
        <v>0</v>
      </c>
      <c r="T74" s="1108">
        <f>RBJP!BH74</f>
        <v>0</v>
      </c>
      <c r="U74" s="824"/>
      <c r="V74" s="824"/>
      <c r="W74" s="824">
        <v>43466</v>
      </c>
      <c r="X74" s="824"/>
      <c r="Y74" s="824"/>
      <c r="Z74" s="135"/>
      <c r="AA74" s="629" t="str">
        <f t="shared" si="47"/>
        <v/>
      </c>
      <c r="AB74" s="630" t="str">
        <f t="shared" ref="AB74:AL74" si="75">IF(AND($W74&lt;=AB$3,$W74&gt;AB$3-(AB$3-AA$3)),"SOP",IF(AND($Y74&lt;=AB$3,($Y74+$Z74*31)&gt;=AB$3),"X",""))</f>
        <v/>
      </c>
      <c r="AC74" s="630" t="str">
        <f t="shared" si="75"/>
        <v/>
      </c>
      <c r="AD74" s="630" t="str">
        <f t="shared" si="75"/>
        <v/>
      </c>
      <c r="AE74" s="630" t="str">
        <f t="shared" si="75"/>
        <v/>
      </c>
      <c r="AF74" s="630" t="str">
        <f t="shared" si="75"/>
        <v/>
      </c>
      <c r="AG74" s="630" t="str">
        <f t="shared" si="75"/>
        <v/>
      </c>
      <c r="AH74" s="630" t="str">
        <f t="shared" si="75"/>
        <v/>
      </c>
      <c r="AI74" s="630" t="str">
        <f t="shared" si="75"/>
        <v/>
      </c>
      <c r="AJ74" s="630" t="str">
        <f t="shared" si="75"/>
        <v/>
      </c>
      <c r="AK74" s="630" t="str">
        <f t="shared" si="75"/>
        <v/>
      </c>
      <c r="AL74" s="631" t="str">
        <f t="shared" si="75"/>
        <v/>
      </c>
      <c r="AM74" s="632" t="str">
        <f t="shared" si="46"/>
        <v/>
      </c>
      <c r="AN74" s="630" t="str">
        <f t="shared" si="71"/>
        <v/>
      </c>
      <c r="AO74" s="630" t="str">
        <f t="shared" si="71"/>
        <v/>
      </c>
      <c r="AP74" s="630" t="str">
        <f t="shared" si="71"/>
        <v/>
      </c>
      <c r="AQ74" s="630" t="str">
        <f t="shared" si="71"/>
        <v/>
      </c>
      <c r="AR74" s="633" t="str">
        <f t="shared" si="71"/>
        <v/>
      </c>
      <c r="AS74" s="1114"/>
      <c r="AT74" s="642"/>
      <c r="AU74" s="1119" t="s">
        <v>482</v>
      </c>
      <c r="AV74" s="341"/>
      <c r="AW74" s="624"/>
      <c r="AX74" s="625"/>
    </row>
    <row r="75" spans="1:50" ht="14.1" customHeight="1" thickBot="1">
      <c r="A75" s="182"/>
      <c r="B75" s="182"/>
      <c r="C75" s="38">
        <v>190</v>
      </c>
      <c r="D75" s="958"/>
      <c r="E75" s="22" t="s">
        <v>437</v>
      </c>
      <c r="F75" s="1053" t="s">
        <v>442</v>
      </c>
      <c r="G75" s="592" t="s">
        <v>34</v>
      </c>
      <c r="H75" s="724" t="s">
        <v>439</v>
      </c>
      <c r="I75" s="1036"/>
      <c r="J75" s="954"/>
      <c r="K75" s="955"/>
      <c r="L75" s="911"/>
      <c r="M75" s="815">
        <f>RBJP!BA75</f>
        <v>0</v>
      </c>
      <c r="N75" s="815">
        <f>RBJP!BC75</f>
        <v>0</v>
      </c>
      <c r="O75" s="799">
        <f>RBJP!BD75</f>
        <v>0</v>
      </c>
      <c r="P75" s="959"/>
      <c r="Q75" s="815"/>
      <c r="R75" s="815"/>
      <c r="S75" s="816">
        <f>RBJP!BE75</f>
        <v>0</v>
      </c>
      <c r="T75" s="797">
        <f>RBJP!BH75</f>
        <v>0</v>
      </c>
      <c r="U75" s="815"/>
      <c r="V75" s="815"/>
      <c r="W75" s="815">
        <v>43466</v>
      </c>
      <c r="X75" s="815"/>
      <c r="Y75" s="799"/>
      <c r="Z75" s="748"/>
      <c r="AA75" s="622" t="str">
        <f t="shared" si="47"/>
        <v/>
      </c>
      <c r="AB75" s="594" t="str">
        <f t="shared" ref="AB75:AL75" si="76">IF(AND($W75&lt;=AB$3,$W75&gt;AB$3-(AB$3-AA$3)),"SOP",IF(AND($Y75&lt;=AB$3,($Y75+$Z75*31)&gt;=AB$3),"X",""))</f>
        <v/>
      </c>
      <c r="AC75" s="594" t="str">
        <f t="shared" si="76"/>
        <v/>
      </c>
      <c r="AD75" s="594" t="str">
        <f t="shared" si="76"/>
        <v/>
      </c>
      <c r="AE75" s="594" t="str">
        <f t="shared" si="76"/>
        <v/>
      </c>
      <c r="AF75" s="594" t="str">
        <f t="shared" si="76"/>
        <v/>
      </c>
      <c r="AG75" s="594" t="str">
        <f t="shared" si="76"/>
        <v/>
      </c>
      <c r="AH75" s="594" t="str">
        <f t="shared" si="76"/>
        <v/>
      </c>
      <c r="AI75" s="594" t="str">
        <f t="shared" si="76"/>
        <v/>
      </c>
      <c r="AJ75" s="594" t="str">
        <f t="shared" si="76"/>
        <v/>
      </c>
      <c r="AK75" s="594" t="str">
        <f t="shared" si="76"/>
        <v/>
      </c>
      <c r="AL75" s="595" t="str">
        <f t="shared" si="76"/>
        <v/>
      </c>
      <c r="AM75" s="593" t="str">
        <f t="shared" si="46"/>
        <v/>
      </c>
      <c r="AN75" s="594" t="str">
        <f t="shared" si="71"/>
        <v/>
      </c>
      <c r="AO75" s="594" t="str">
        <f t="shared" si="71"/>
        <v/>
      </c>
      <c r="AP75" s="594" t="str">
        <f t="shared" si="71"/>
        <v/>
      </c>
      <c r="AQ75" s="594" t="str">
        <f t="shared" si="71"/>
        <v/>
      </c>
      <c r="AR75" s="596" t="str">
        <f t="shared" si="71"/>
        <v/>
      </c>
      <c r="AS75" s="970"/>
      <c r="AT75" s="644" t="s">
        <v>87</v>
      </c>
      <c r="AU75" s="1050" t="s">
        <v>435</v>
      </c>
      <c r="AV75" s="341"/>
      <c r="AW75" s="624"/>
      <c r="AX75" s="625"/>
    </row>
    <row r="76" spans="1:50" ht="14.1" customHeight="1" thickBot="1">
      <c r="A76" s="182"/>
      <c r="B76" s="182"/>
      <c r="C76" s="38">
        <v>482</v>
      </c>
      <c r="D76" s="958"/>
      <c r="E76" s="22" t="s">
        <v>80</v>
      </c>
      <c r="F76" s="28" t="s">
        <v>443</v>
      </c>
      <c r="G76" s="592" t="s">
        <v>34</v>
      </c>
      <c r="H76" s="724" t="s">
        <v>161</v>
      </c>
      <c r="I76" s="1036"/>
      <c r="J76" s="954"/>
      <c r="K76" s="955"/>
      <c r="L76" s="911"/>
      <c r="M76" s="815">
        <f>RBJP!BA76</f>
        <v>0</v>
      </c>
      <c r="N76" s="815">
        <f>RBJP!BC76</f>
        <v>0</v>
      </c>
      <c r="O76" s="799">
        <f>RBJP!BD76</f>
        <v>0</v>
      </c>
      <c r="P76" s="959"/>
      <c r="Q76" s="815"/>
      <c r="R76" s="815"/>
      <c r="S76" s="816">
        <f>RBJP!BE76</f>
        <v>0</v>
      </c>
      <c r="T76" s="797">
        <f>RBJP!BH76</f>
        <v>0</v>
      </c>
      <c r="U76" s="815"/>
      <c r="V76" s="815"/>
      <c r="W76" s="815">
        <v>43466</v>
      </c>
      <c r="X76" s="815"/>
      <c r="Y76" s="799"/>
      <c r="Z76" s="748"/>
      <c r="AA76" s="622" t="str">
        <f t="shared" si="47"/>
        <v/>
      </c>
      <c r="AB76" s="594" t="str">
        <f t="shared" ref="AB76:AL76" si="77">IF(AND($W76&lt;=AB$3,$W76&gt;AB$3-(AB$3-AA$3)),"SOP",IF(AND($Y76&lt;=AB$3,($Y76+$Z76*31)&gt;=AB$3),"X",""))</f>
        <v/>
      </c>
      <c r="AC76" s="594" t="str">
        <f t="shared" si="77"/>
        <v/>
      </c>
      <c r="AD76" s="594" t="str">
        <f t="shared" si="77"/>
        <v/>
      </c>
      <c r="AE76" s="594" t="str">
        <f t="shared" si="77"/>
        <v/>
      </c>
      <c r="AF76" s="594" t="str">
        <f t="shared" si="77"/>
        <v/>
      </c>
      <c r="AG76" s="594" t="str">
        <f t="shared" si="77"/>
        <v/>
      </c>
      <c r="AH76" s="594" t="str">
        <f t="shared" si="77"/>
        <v/>
      </c>
      <c r="AI76" s="594" t="str">
        <f t="shared" si="77"/>
        <v/>
      </c>
      <c r="AJ76" s="594" t="str">
        <f t="shared" si="77"/>
        <v/>
      </c>
      <c r="AK76" s="594" t="str">
        <f t="shared" si="77"/>
        <v/>
      </c>
      <c r="AL76" s="595" t="str">
        <f t="shared" si="77"/>
        <v/>
      </c>
      <c r="AM76" s="593" t="str">
        <f t="shared" si="46"/>
        <v/>
      </c>
      <c r="AN76" s="594" t="str">
        <f t="shared" si="71"/>
        <v/>
      </c>
      <c r="AO76" s="594" t="str">
        <f t="shared" si="71"/>
        <v/>
      </c>
      <c r="AP76" s="594" t="str">
        <f t="shared" si="71"/>
        <v/>
      </c>
      <c r="AQ76" s="594" t="str">
        <f t="shared" si="71"/>
        <v/>
      </c>
      <c r="AR76" s="596" t="str">
        <f t="shared" si="71"/>
        <v/>
      </c>
      <c r="AS76" s="970"/>
      <c r="AT76" s="644" t="s">
        <v>38</v>
      </c>
      <c r="AU76" s="1050" t="s">
        <v>435</v>
      </c>
      <c r="AV76" s="341"/>
      <c r="AW76" s="624"/>
      <c r="AX76" s="625"/>
    </row>
    <row r="77" spans="1:50" ht="14.1" customHeight="1" thickBot="1">
      <c r="A77" s="182"/>
      <c r="B77" s="182"/>
      <c r="C77" s="38">
        <v>501</v>
      </c>
      <c r="D77" s="958"/>
      <c r="E77" s="22" t="s">
        <v>134</v>
      </c>
      <c r="F77" s="28" t="s">
        <v>444</v>
      </c>
      <c r="G77" s="592" t="s">
        <v>34</v>
      </c>
      <c r="H77" s="724" t="s">
        <v>440</v>
      </c>
      <c r="I77" s="1036"/>
      <c r="J77" s="954"/>
      <c r="K77" s="955"/>
      <c r="L77" s="911"/>
      <c r="M77" s="815">
        <f>RBJP!BA77</f>
        <v>0</v>
      </c>
      <c r="N77" s="815">
        <f>RBJP!BC77</f>
        <v>0</v>
      </c>
      <c r="O77" s="799">
        <f>RBJP!BD77</f>
        <v>0</v>
      </c>
      <c r="P77" s="959"/>
      <c r="Q77" s="815"/>
      <c r="R77" s="815"/>
      <c r="S77" s="816">
        <f>RBJP!BE77</f>
        <v>0</v>
      </c>
      <c r="T77" s="797">
        <f>RBJP!BH77</f>
        <v>0</v>
      </c>
      <c r="U77" s="815"/>
      <c r="V77" s="815"/>
      <c r="W77" s="815">
        <v>43556</v>
      </c>
      <c r="X77" s="815"/>
      <c r="Y77" s="799"/>
      <c r="Z77" s="748"/>
      <c r="AA77" s="622" t="str">
        <f t="shared" si="47"/>
        <v/>
      </c>
      <c r="AB77" s="594" t="str">
        <f t="shared" ref="AB77:AL77" si="78">IF(AND($W77&lt;=AB$3,$W77&gt;AB$3-(AB$3-AA$3)),"SOP",IF(AND($Y77&lt;=AB$3,($Y77+$Z77*31)&gt;=AB$3),"X",""))</f>
        <v/>
      </c>
      <c r="AC77" s="594" t="str">
        <f t="shared" si="78"/>
        <v/>
      </c>
      <c r="AD77" s="594" t="str">
        <f t="shared" si="78"/>
        <v/>
      </c>
      <c r="AE77" s="594" t="str">
        <f t="shared" si="78"/>
        <v/>
      </c>
      <c r="AF77" s="594" t="str">
        <f t="shared" si="78"/>
        <v/>
      </c>
      <c r="AG77" s="594" t="str">
        <f t="shared" si="78"/>
        <v/>
      </c>
      <c r="AH77" s="594" t="str">
        <f t="shared" si="78"/>
        <v/>
      </c>
      <c r="AI77" s="594" t="str">
        <f t="shared" si="78"/>
        <v/>
      </c>
      <c r="AJ77" s="594" t="str">
        <f t="shared" si="78"/>
        <v/>
      </c>
      <c r="AK77" s="594" t="str">
        <f t="shared" si="78"/>
        <v/>
      </c>
      <c r="AL77" s="595" t="str">
        <f t="shared" si="78"/>
        <v/>
      </c>
      <c r="AM77" s="593" t="str">
        <f t="shared" si="46"/>
        <v/>
      </c>
      <c r="AN77" s="594" t="str">
        <f t="shared" si="71"/>
        <v/>
      </c>
      <c r="AO77" s="594" t="str">
        <f t="shared" si="71"/>
        <v/>
      </c>
      <c r="AP77" s="594" t="str">
        <f t="shared" si="71"/>
        <v/>
      </c>
      <c r="AQ77" s="594" t="str">
        <f t="shared" si="71"/>
        <v/>
      </c>
      <c r="AR77" s="596" t="str">
        <f t="shared" si="71"/>
        <v/>
      </c>
      <c r="AS77" s="970"/>
      <c r="AT77" s="644" t="s">
        <v>38</v>
      </c>
      <c r="AU77" s="1050" t="s">
        <v>435</v>
      </c>
      <c r="AV77" s="341"/>
      <c r="AW77" s="624"/>
      <c r="AX77" s="625"/>
    </row>
    <row r="78" spans="1:50" ht="14.1" customHeight="1" thickBot="1">
      <c r="A78" s="182"/>
      <c r="B78" s="182"/>
      <c r="C78" s="38">
        <v>510</v>
      </c>
      <c r="D78" s="958"/>
      <c r="E78" s="22" t="s">
        <v>346</v>
      </c>
      <c r="F78" s="1053" t="s">
        <v>445</v>
      </c>
      <c r="G78" s="592" t="s">
        <v>34</v>
      </c>
      <c r="H78" s="724" t="s">
        <v>441</v>
      </c>
      <c r="I78" s="1036"/>
      <c r="J78" s="954"/>
      <c r="K78" s="955"/>
      <c r="L78" s="911"/>
      <c r="M78" s="815">
        <f>RBJP!BA78</f>
        <v>0</v>
      </c>
      <c r="N78" s="815">
        <f>RBJP!BC78</f>
        <v>0</v>
      </c>
      <c r="O78" s="799">
        <f>RBJP!BD78</f>
        <v>0</v>
      </c>
      <c r="P78" s="959"/>
      <c r="Q78" s="815"/>
      <c r="R78" s="815"/>
      <c r="S78" s="816">
        <f>RBJP!BE78</f>
        <v>0</v>
      </c>
      <c r="T78" s="797">
        <f>RBJP!BH78</f>
        <v>0</v>
      </c>
      <c r="U78" s="815"/>
      <c r="V78" s="815"/>
      <c r="W78" s="815">
        <v>43617</v>
      </c>
      <c r="X78" s="815"/>
      <c r="Y78" s="799"/>
      <c r="Z78" s="748"/>
      <c r="AA78" s="622" t="str">
        <f t="shared" si="47"/>
        <v/>
      </c>
      <c r="AB78" s="594" t="str">
        <f t="shared" ref="AB78:AL78" si="79">IF(AND($W78&lt;=AB$3,$W78&gt;AB$3-(AB$3-AA$3)),"SOP",IF(AND($Y78&lt;=AB$3,($Y78+$Z78*31)&gt;=AB$3),"X",""))</f>
        <v/>
      </c>
      <c r="AC78" s="594" t="str">
        <f t="shared" si="79"/>
        <v/>
      </c>
      <c r="AD78" s="594" t="str">
        <f t="shared" si="79"/>
        <v/>
      </c>
      <c r="AE78" s="594" t="str">
        <f t="shared" si="79"/>
        <v/>
      </c>
      <c r="AF78" s="594" t="str">
        <f t="shared" si="79"/>
        <v/>
      </c>
      <c r="AG78" s="594" t="str">
        <f t="shared" si="79"/>
        <v/>
      </c>
      <c r="AH78" s="594" t="str">
        <f t="shared" si="79"/>
        <v/>
      </c>
      <c r="AI78" s="594" t="str">
        <f t="shared" si="79"/>
        <v/>
      </c>
      <c r="AJ78" s="594" t="str">
        <f t="shared" si="79"/>
        <v/>
      </c>
      <c r="AK78" s="594" t="str">
        <f t="shared" si="79"/>
        <v/>
      </c>
      <c r="AL78" s="595" t="str">
        <f t="shared" si="79"/>
        <v/>
      </c>
      <c r="AM78" s="593" t="str">
        <f t="shared" si="46"/>
        <v/>
      </c>
      <c r="AN78" s="594" t="str">
        <f t="shared" si="71"/>
        <v/>
      </c>
      <c r="AO78" s="594" t="str">
        <f t="shared" si="71"/>
        <v/>
      </c>
      <c r="AP78" s="594" t="str">
        <f t="shared" si="71"/>
        <v/>
      </c>
      <c r="AQ78" s="594" t="str">
        <f t="shared" si="71"/>
        <v/>
      </c>
      <c r="AR78" s="596" t="str">
        <f t="shared" si="71"/>
        <v/>
      </c>
      <c r="AS78" s="970"/>
      <c r="AT78" s="644" t="s">
        <v>38</v>
      </c>
      <c r="AU78" s="1050" t="s">
        <v>435</v>
      </c>
      <c r="AV78" s="341"/>
      <c r="AW78" s="624"/>
      <c r="AX78" s="625"/>
    </row>
    <row r="79" spans="1:50" ht="14.1" customHeight="1" thickBot="1">
      <c r="A79" s="182"/>
      <c r="B79" s="182"/>
      <c r="C79" s="38">
        <v>364</v>
      </c>
      <c r="D79" s="958"/>
      <c r="E79" s="1057" t="s">
        <v>447</v>
      </c>
      <c r="F79" s="1060" t="s">
        <v>449</v>
      </c>
      <c r="G79" s="1058" t="s">
        <v>45</v>
      </c>
      <c r="H79" s="724" t="s">
        <v>448</v>
      </c>
      <c r="I79" s="1059"/>
      <c r="J79" s="954"/>
      <c r="K79" s="955"/>
      <c r="L79" s="911" t="s">
        <v>166</v>
      </c>
      <c r="M79" s="815">
        <f>RBJP!BA79</f>
        <v>0</v>
      </c>
      <c r="N79" s="815">
        <f>RBJP!BC79</f>
        <v>0</v>
      </c>
      <c r="O79" s="799">
        <f>RBJP!BD79</f>
        <v>0</v>
      </c>
      <c r="P79" s="959" t="s">
        <v>166</v>
      </c>
      <c r="Q79" s="815"/>
      <c r="R79" s="815"/>
      <c r="S79" s="816">
        <f>RBJP!BE79</f>
        <v>0</v>
      </c>
      <c r="T79" s="797">
        <f>RBJP!BH79</f>
        <v>0</v>
      </c>
      <c r="U79" s="815"/>
      <c r="V79" s="815"/>
      <c r="W79" s="815">
        <v>43831</v>
      </c>
      <c r="X79" s="815"/>
      <c r="Y79" s="799"/>
      <c r="Z79" s="748"/>
      <c r="AA79" s="622" t="str">
        <f t="shared" si="47"/>
        <v/>
      </c>
      <c r="AB79" s="594" t="str">
        <f t="shared" ref="AB79:AL79" si="80">IF(AND($W79&lt;=AB$3,$W79&gt;AB$3-(AB$3-AA$3)),"SOP",IF(AND($Y79&lt;=AB$3,($Y79+$Z79*31)&gt;=AB$3),"X",""))</f>
        <v/>
      </c>
      <c r="AC79" s="594" t="str">
        <f t="shared" si="80"/>
        <v/>
      </c>
      <c r="AD79" s="594" t="str">
        <f t="shared" si="80"/>
        <v/>
      </c>
      <c r="AE79" s="594" t="str">
        <f t="shared" si="80"/>
        <v/>
      </c>
      <c r="AF79" s="594" t="str">
        <f t="shared" si="80"/>
        <v/>
      </c>
      <c r="AG79" s="594" t="str">
        <f t="shared" si="80"/>
        <v/>
      </c>
      <c r="AH79" s="594" t="str">
        <f t="shared" si="80"/>
        <v/>
      </c>
      <c r="AI79" s="594" t="str">
        <f t="shared" si="80"/>
        <v/>
      </c>
      <c r="AJ79" s="594" t="str">
        <f t="shared" si="80"/>
        <v/>
      </c>
      <c r="AK79" s="594" t="str">
        <f t="shared" si="80"/>
        <v/>
      </c>
      <c r="AL79" s="595" t="str">
        <f t="shared" si="80"/>
        <v/>
      </c>
      <c r="AM79" s="593" t="str">
        <f t="shared" si="46"/>
        <v/>
      </c>
      <c r="AN79" s="594" t="str">
        <f t="shared" si="71"/>
        <v/>
      </c>
      <c r="AO79" s="594" t="str">
        <f t="shared" si="71"/>
        <v/>
      </c>
      <c r="AP79" s="594" t="str">
        <f t="shared" si="71"/>
        <v/>
      </c>
      <c r="AQ79" s="594" t="str">
        <f t="shared" si="71"/>
        <v/>
      </c>
      <c r="AR79" s="596" t="str">
        <f t="shared" si="71"/>
        <v/>
      </c>
      <c r="AS79" s="970"/>
      <c r="AT79" s="644" t="s">
        <v>316</v>
      </c>
      <c r="AU79" s="1050" t="s">
        <v>435</v>
      </c>
      <c r="AV79" s="341"/>
      <c r="AW79" s="624"/>
      <c r="AX79" s="625"/>
    </row>
    <row r="80" spans="1:50" ht="14.1" customHeight="1" thickBot="1">
      <c r="A80" s="182"/>
      <c r="B80" s="182"/>
      <c r="C80" s="38">
        <v>422</v>
      </c>
      <c r="D80" s="958"/>
      <c r="E80" s="1057" t="s">
        <v>447</v>
      </c>
      <c r="F80" s="1060" t="s">
        <v>450</v>
      </c>
      <c r="G80" s="1058" t="s">
        <v>45</v>
      </c>
      <c r="H80" s="724" t="s">
        <v>173</v>
      </c>
      <c r="I80" s="1059"/>
      <c r="J80" s="954"/>
      <c r="K80" s="955"/>
      <c r="L80" s="911" t="s">
        <v>166</v>
      </c>
      <c r="M80" s="815">
        <f>RBJP!BA80</f>
        <v>0</v>
      </c>
      <c r="N80" s="815">
        <f>RBJP!BC80</f>
        <v>0</v>
      </c>
      <c r="O80" s="799">
        <f>RBJP!BD80</f>
        <v>0</v>
      </c>
      <c r="P80" s="959" t="s">
        <v>166</v>
      </c>
      <c r="Q80" s="815"/>
      <c r="R80" s="815"/>
      <c r="S80" s="816">
        <f>RBJP!BE80</f>
        <v>0</v>
      </c>
      <c r="T80" s="797">
        <f>RBJP!BH80</f>
        <v>0</v>
      </c>
      <c r="U80" s="815"/>
      <c r="V80" s="815"/>
      <c r="W80" s="815">
        <v>43831</v>
      </c>
      <c r="X80" s="815"/>
      <c r="Y80" s="799"/>
      <c r="Z80" s="748"/>
      <c r="AA80" s="622" t="str">
        <f t="shared" si="47"/>
        <v/>
      </c>
      <c r="AB80" s="594" t="str">
        <f t="shared" ref="AB80:AL80" si="81">IF(AND($W80&lt;=AB$3,$W80&gt;AB$3-(AB$3-AA$3)),"SOP",IF(AND($Y80&lt;=AB$3,($Y80+$Z80*31)&gt;=AB$3),"X",""))</f>
        <v/>
      </c>
      <c r="AC80" s="594" t="str">
        <f t="shared" si="81"/>
        <v/>
      </c>
      <c r="AD80" s="594" t="str">
        <f t="shared" si="81"/>
        <v/>
      </c>
      <c r="AE80" s="594" t="str">
        <f t="shared" si="81"/>
        <v/>
      </c>
      <c r="AF80" s="594" t="str">
        <f t="shared" si="81"/>
        <v/>
      </c>
      <c r="AG80" s="594" t="str">
        <f t="shared" si="81"/>
        <v/>
      </c>
      <c r="AH80" s="594" t="str">
        <f t="shared" si="81"/>
        <v/>
      </c>
      <c r="AI80" s="594" t="str">
        <f t="shared" si="81"/>
        <v/>
      </c>
      <c r="AJ80" s="594" t="str">
        <f t="shared" si="81"/>
        <v/>
      </c>
      <c r="AK80" s="594" t="str">
        <f t="shared" si="81"/>
        <v/>
      </c>
      <c r="AL80" s="595" t="str">
        <f t="shared" si="81"/>
        <v/>
      </c>
      <c r="AM80" s="593" t="str">
        <f t="shared" si="46"/>
        <v/>
      </c>
      <c r="AN80" s="594" t="str">
        <f t="shared" ref="AN80:AR83" si="82">IF(AND($W80&lt;=AN$3,$W80&gt;AN$3-(AN$3-AM$3)),"SOP",IF(AND($Y80&lt;=AN$3,($Y80+$Z80*31)&gt;=AN$3),"X",""))</f>
        <v/>
      </c>
      <c r="AO80" s="594" t="str">
        <f t="shared" si="82"/>
        <v/>
      </c>
      <c r="AP80" s="594" t="str">
        <f t="shared" si="82"/>
        <v/>
      </c>
      <c r="AQ80" s="594" t="str">
        <f t="shared" si="82"/>
        <v/>
      </c>
      <c r="AR80" s="596" t="str">
        <f t="shared" si="82"/>
        <v/>
      </c>
      <c r="AS80" s="970"/>
      <c r="AT80" s="644" t="s">
        <v>316</v>
      </c>
      <c r="AU80" s="1050" t="s">
        <v>435</v>
      </c>
      <c r="AV80" s="341"/>
      <c r="AW80" s="624"/>
      <c r="AX80" s="625"/>
    </row>
    <row r="81" spans="1:50" ht="14.1" customHeight="1" thickBot="1">
      <c r="A81" s="182"/>
      <c r="B81" s="182"/>
      <c r="C81" s="38">
        <v>423</v>
      </c>
      <c r="D81" s="958"/>
      <c r="E81" s="1057" t="s">
        <v>447</v>
      </c>
      <c r="F81" s="1060" t="s">
        <v>451</v>
      </c>
      <c r="G81" s="1058" t="s">
        <v>45</v>
      </c>
      <c r="H81" s="724" t="s">
        <v>35</v>
      </c>
      <c r="I81" s="1059"/>
      <c r="J81" s="954"/>
      <c r="K81" s="955"/>
      <c r="L81" s="911" t="s">
        <v>166</v>
      </c>
      <c r="M81" s="815">
        <f>RBJP!BA81</f>
        <v>0</v>
      </c>
      <c r="N81" s="815">
        <f>RBJP!BC81</f>
        <v>0</v>
      </c>
      <c r="O81" s="799">
        <f>RBJP!BD81</f>
        <v>0</v>
      </c>
      <c r="P81" s="959" t="s">
        <v>166</v>
      </c>
      <c r="Q81" s="815"/>
      <c r="R81" s="815"/>
      <c r="S81" s="816">
        <f>RBJP!BE81</f>
        <v>0</v>
      </c>
      <c r="T81" s="797">
        <f>RBJP!BH81</f>
        <v>0</v>
      </c>
      <c r="U81" s="815"/>
      <c r="V81" s="815"/>
      <c r="W81" s="815">
        <v>43831</v>
      </c>
      <c r="X81" s="815"/>
      <c r="Y81" s="799"/>
      <c r="Z81" s="748"/>
      <c r="AA81" s="622" t="str">
        <f t="shared" si="47"/>
        <v/>
      </c>
      <c r="AB81" s="594" t="str">
        <f t="shared" ref="AB81:AL81" si="83">IF(AND($W81&lt;=AB$3,$W81&gt;AB$3-(AB$3-AA$3)),"SOP",IF(AND($Y81&lt;=AB$3,($Y81+$Z81*31)&gt;=AB$3),"X",""))</f>
        <v/>
      </c>
      <c r="AC81" s="594" t="str">
        <f t="shared" si="83"/>
        <v/>
      </c>
      <c r="AD81" s="594" t="str">
        <f t="shared" si="83"/>
        <v/>
      </c>
      <c r="AE81" s="594" t="str">
        <f t="shared" si="83"/>
        <v/>
      </c>
      <c r="AF81" s="594" t="str">
        <f t="shared" si="83"/>
        <v/>
      </c>
      <c r="AG81" s="594" t="str">
        <f t="shared" si="83"/>
        <v/>
      </c>
      <c r="AH81" s="594" t="str">
        <f t="shared" si="83"/>
        <v/>
      </c>
      <c r="AI81" s="594" t="str">
        <f t="shared" si="83"/>
        <v/>
      </c>
      <c r="AJ81" s="594" t="str">
        <f t="shared" si="83"/>
        <v/>
      </c>
      <c r="AK81" s="594" t="str">
        <f t="shared" si="83"/>
        <v/>
      </c>
      <c r="AL81" s="595" t="str">
        <f t="shared" si="83"/>
        <v/>
      </c>
      <c r="AM81" s="593" t="str">
        <f t="shared" si="46"/>
        <v/>
      </c>
      <c r="AN81" s="594" t="str">
        <f t="shared" si="82"/>
        <v/>
      </c>
      <c r="AO81" s="594" t="str">
        <f t="shared" si="82"/>
        <v/>
      </c>
      <c r="AP81" s="594" t="str">
        <f t="shared" si="82"/>
        <v/>
      </c>
      <c r="AQ81" s="594" t="str">
        <f t="shared" si="82"/>
        <v/>
      </c>
      <c r="AR81" s="596" t="str">
        <f t="shared" si="82"/>
        <v/>
      </c>
      <c r="AS81" s="970"/>
      <c r="AT81" s="644" t="s">
        <v>316</v>
      </c>
      <c r="AU81" s="1050" t="s">
        <v>435</v>
      </c>
      <c r="AV81" s="341"/>
      <c r="AW81" s="624"/>
      <c r="AX81" s="625"/>
    </row>
    <row r="82" spans="1:50" ht="14.1" customHeight="1" thickBot="1">
      <c r="A82" s="182"/>
      <c r="B82" s="182"/>
      <c r="C82" s="38">
        <v>539</v>
      </c>
      <c r="D82" s="958"/>
      <c r="E82" s="1057" t="s">
        <v>134</v>
      </c>
      <c r="F82" s="1060" t="s">
        <v>452</v>
      </c>
      <c r="G82" s="1058" t="s">
        <v>34</v>
      </c>
      <c r="H82" s="724" t="s">
        <v>122</v>
      </c>
      <c r="I82" s="1059"/>
      <c r="J82" s="954"/>
      <c r="K82" s="955"/>
      <c r="L82" s="911"/>
      <c r="M82" s="815">
        <f>RBJP!BA82</f>
        <v>0</v>
      </c>
      <c r="N82" s="815">
        <f>RBJP!BC82</f>
        <v>0</v>
      </c>
      <c r="O82" s="799">
        <f>RBJP!BD82</f>
        <v>0</v>
      </c>
      <c r="P82" s="815"/>
      <c r="Q82" s="815"/>
      <c r="R82" s="815"/>
      <c r="S82" s="816">
        <f>RBJP!BE82</f>
        <v>0</v>
      </c>
      <c r="T82" s="797">
        <f>RBJP!BH82</f>
        <v>0</v>
      </c>
      <c r="U82" s="815"/>
      <c r="V82" s="815"/>
      <c r="W82" s="815">
        <v>43466</v>
      </c>
      <c r="X82" s="815"/>
      <c r="Y82" s="799"/>
      <c r="Z82" s="748"/>
      <c r="AA82" s="622" t="str">
        <f t="shared" si="47"/>
        <v/>
      </c>
      <c r="AB82" s="594" t="str">
        <f t="shared" ref="AB82:AL82" si="84">IF(AND($W82&lt;=AB$3,$W82&gt;AB$3-(AB$3-AA$3)),"SOP",IF(AND($Y82&lt;=AB$3,($Y82+$Z82*31)&gt;=AB$3),"X",""))</f>
        <v/>
      </c>
      <c r="AC82" s="594" t="str">
        <f t="shared" si="84"/>
        <v/>
      </c>
      <c r="AD82" s="594" t="str">
        <f t="shared" si="84"/>
        <v/>
      </c>
      <c r="AE82" s="594" t="str">
        <f t="shared" si="84"/>
        <v/>
      </c>
      <c r="AF82" s="594" t="str">
        <f t="shared" si="84"/>
        <v/>
      </c>
      <c r="AG82" s="594" t="str">
        <f t="shared" si="84"/>
        <v/>
      </c>
      <c r="AH82" s="594" t="str">
        <f t="shared" si="84"/>
        <v/>
      </c>
      <c r="AI82" s="594" t="str">
        <f t="shared" si="84"/>
        <v/>
      </c>
      <c r="AJ82" s="594" t="str">
        <f t="shared" si="84"/>
        <v/>
      </c>
      <c r="AK82" s="594" t="str">
        <f t="shared" si="84"/>
        <v/>
      </c>
      <c r="AL82" s="595" t="str">
        <f t="shared" si="84"/>
        <v/>
      </c>
      <c r="AM82" s="593" t="str">
        <f t="shared" si="46"/>
        <v/>
      </c>
      <c r="AN82" s="594" t="str">
        <f t="shared" si="82"/>
        <v/>
      </c>
      <c r="AO82" s="594" t="str">
        <f t="shared" si="82"/>
        <v/>
      </c>
      <c r="AP82" s="594" t="str">
        <f t="shared" si="82"/>
        <v/>
      </c>
      <c r="AQ82" s="594" t="str">
        <f t="shared" si="82"/>
        <v/>
      </c>
      <c r="AR82" s="596" t="str">
        <f t="shared" si="82"/>
        <v/>
      </c>
      <c r="AS82" s="970"/>
      <c r="AT82" s="644"/>
      <c r="AU82" s="1050" t="s">
        <v>480</v>
      </c>
      <c r="AV82" s="341"/>
      <c r="AW82" s="624"/>
      <c r="AX82" s="625"/>
    </row>
    <row r="83" spans="1:50" ht="14.1" customHeight="1" thickBot="1">
      <c r="A83" s="182"/>
      <c r="B83" s="182"/>
      <c r="C83" s="38">
        <v>542</v>
      </c>
      <c r="D83" s="958"/>
      <c r="E83" s="1057" t="s">
        <v>483</v>
      </c>
      <c r="F83" s="1060" t="s">
        <v>485</v>
      </c>
      <c r="G83" s="1058" t="s">
        <v>45</v>
      </c>
      <c r="H83" s="724" t="s">
        <v>69</v>
      </c>
      <c r="I83" s="1059" t="s">
        <v>1</v>
      </c>
      <c r="J83" s="954"/>
      <c r="K83" s="955"/>
      <c r="L83" s="911" t="s">
        <v>166</v>
      </c>
      <c r="M83" s="815">
        <f>RBJP!BA83</f>
        <v>43122</v>
      </c>
      <c r="N83" s="815">
        <f>RBJP!BC83</f>
        <v>43172</v>
      </c>
      <c r="O83" s="799">
        <f>RBJP!BD83</f>
        <v>43178</v>
      </c>
      <c r="P83" s="799" t="s">
        <v>166</v>
      </c>
      <c r="Q83" s="815">
        <v>43213</v>
      </c>
      <c r="R83" s="799" t="s">
        <v>166</v>
      </c>
      <c r="S83" s="816">
        <f>RBJP!BE83</f>
        <v>43208</v>
      </c>
      <c r="T83" s="797">
        <f>RBJP!BH83</f>
        <v>43233</v>
      </c>
      <c r="U83" s="815">
        <v>43262</v>
      </c>
      <c r="V83" s="815"/>
      <c r="W83" s="815">
        <v>43269</v>
      </c>
      <c r="X83" s="815"/>
      <c r="Y83" s="799">
        <v>43290</v>
      </c>
      <c r="Z83" s="748"/>
      <c r="AA83" s="622" t="str">
        <f t="shared" si="47"/>
        <v/>
      </c>
      <c r="AB83" s="594" t="str">
        <f t="shared" ref="AB83:AL83" si="85">IF(AND($W83&lt;=AB$3,$W83&gt;AB$3-(AB$3-AA$3)),"SOP",IF(AND($Y83&lt;=AB$3,($Y83+$Z83*31)&gt;=AB$3),"X",""))</f>
        <v/>
      </c>
      <c r="AC83" s="594" t="str">
        <f t="shared" si="85"/>
        <v/>
      </c>
      <c r="AD83" s="594" t="str">
        <f t="shared" si="85"/>
        <v/>
      </c>
      <c r="AE83" s="594" t="str">
        <f t="shared" si="85"/>
        <v/>
      </c>
      <c r="AF83" s="594" t="str">
        <f t="shared" si="85"/>
        <v/>
      </c>
      <c r="AG83" s="594" t="str">
        <f t="shared" si="85"/>
        <v/>
      </c>
      <c r="AH83" s="594" t="str">
        <f t="shared" si="85"/>
        <v/>
      </c>
      <c r="AI83" s="594" t="str">
        <f t="shared" si="85"/>
        <v/>
      </c>
      <c r="AJ83" s="594" t="str">
        <f t="shared" si="85"/>
        <v/>
      </c>
      <c r="AK83" s="594" t="str">
        <f t="shared" si="85"/>
        <v/>
      </c>
      <c r="AL83" s="595" t="str">
        <f t="shared" si="85"/>
        <v/>
      </c>
      <c r="AM83" s="593" t="str">
        <f t="shared" si="46"/>
        <v/>
      </c>
      <c r="AN83" s="594" t="str">
        <f t="shared" si="82"/>
        <v/>
      </c>
      <c r="AO83" s="594" t="str">
        <f t="shared" si="82"/>
        <v/>
      </c>
      <c r="AP83" s="594" t="str">
        <f t="shared" si="82"/>
        <v/>
      </c>
      <c r="AQ83" s="594" t="str">
        <f t="shared" si="82"/>
        <v/>
      </c>
      <c r="AR83" s="596" t="str">
        <f t="shared" si="82"/>
        <v>SOP</v>
      </c>
      <c r="AS83" s="970"/>
      <c r="AT83" s="644" t="s">
        <v>487</v>
      </c>
      <c r="AU83" s="1050" t="s">
        <v>484</v>
      </c>
      <c r="AV83" s="341"/>
      <c r="AW83" s="624"/>
      <c r="AX83" s="625"/>
    </row>
    <row r="84" spans="1:50" s="176" customFormat="1">
      <c r="A84" s="186"/>
      <c r="B84" s="186"/>
      <c r="I84" s="332"/>
      <c r="O84" s="302"/>
      <c r="S84" s="302"/>
      <c r="T84" s="302"/>
      <c r="AU84" s="287"/>
      <c r="AV84" s="287"/>
      <c r="AW84" s="287"/>
      <c r="AX84" s="177"/>
    </row>
    <row r="85" spans="1:50">
      <c r="K85" s="1" t="s">
        <v>174</v>
      </c>
      <c r="L85" s="51"/>
      <c r="M85" s="1"/>
      <c r="N85" s="1"/>
      <c r="O85" s="303"/>
      <c r="P85" s="51"/>
      <c r="Q85" s="51"/>
      <c r="R85" s="51"/>
      <c r="S85" s="303"/>
      <c r="T85" s="303"/>
      <c r="U85" s="51"/>
      <c r="V85" s="51"/>
      <c r="W85" s="51"/>
      <c r="X85" s="51"/>
      <c r="Y85" s="587"/>
      <c r="AU85" s="887"/>
    </row>
    <row r="86" spans="1:50">
      <c r="K86" s="1" t="s">
        <v>175</v>
      </c>
      <c r="L86" s="51"/>
      <c r="M86" s="1"/>
      <c r="N86" s="1"/>
      <c r="O86" s="303"/>
      <c r="P86" s="51"/>
      <c r="Q86" s="51"/>
      <c r="R86" s="51"/>
      <c r="S86" s="303"/>
      <c r="T86" s="303"/>
      <c r="U86" s="51"/>
      <c r="V86" s="51"/>
      <c r="W86" s="51"/>
      <c r="X86" s="51"/>
      <c r="Y86" s="51"/>
      <c r="AU86" s="889"/>
    </row>
    <row r="87" spans="1:50">
      <c r="K87" s="1" t="s">
        <v>176</v>
      </c>
      <c r="L87" s="51"/>
      <c r="M87" s="1"/>
      <c r="N87" s="1"/>
      <c r="O87" s="303"/>
      <c r="P87" s="51"/>
      <c r="Q87" s="51"/>
      <c r="R87" s="51"/>
      <c r="S87" s="303"/>
      <c r="T87" s="303"/>
      <c r="U87" s="51"/>
      <c r="V87" s="51"/>
      <c r="W87" s="51"/>
      <c r="X87" s="51"/>
      <c r="Y87" s="51"/>
      <c r="AU87" s="887"/>
    </row>
    <row r="88" spans="1:50">
      <c r="K88" s="1" t="s">
        <v>177</v>
      </c>
      <c r="L88" s="51"/>
      <c r="M88" s="1"/>
      <c r="N88" s="1"/>
      <c r="O88" s="303"/>
      <c r="P88" s="51"/>
      <c r="Q88" s="51"/>
      <c r="R88" s="51"/>
      <c r="S88" s="303"/>
      <c r="T88" s="303"/>
      <c r="U88" s="51"/>
      <c r="V88" s="51"/>
      <c r="W88" s="51"/>
      <c r="X88" s="51"/>
      <c r="Y88" s="51"/>
    </row>
    <row r="89" spans="1:50">
      <c r="K89" s="1" t="s">
        <v>178</v>
      </c>
      <c r="L89" s="51"/>
      <c r="M89" s="1"/>
      <c r="N89" s="1"/>
      <c r="O89" s="303"/>
      <c r="P89" s="51"/>
      <c r="Q89" s="51"/>
      <c r="R89" s="51"/>
      <c r="S89" s="303"/>
      <c r="T89" s="303"/>
      <c r="U89" s="51"/>
      <c r="V89" s="51"/>
      <c r="W89" s="51"/>
      <c r="X89" s="51"/>
      <c r="Y89" s="51"/>
    </row>
    <row r="90" spans="1:50">
      <c r="K90" s="1" t="s">
        <v>179</v>
      </c>
      <c r="L90" s="51"/>
      <c r="M90" s="1"/>
      <c r="N90" s="1"/>
      <c r="O90" s="303"/>
      <c r="P90" s="51"/>
      <c r="Q90" s="51"/>
      <c r="R90" s="51"/>
      <c r="S90" s="303"/>
      <c r="T90" s="303"/>
      <c r="U90" s="51"/>
      <c r="V90" s="51"/>
      <c r="W90" s="51"/>
      <c r="X90" s="51"/>
      <c r="Y90" s="51"/>
      <c r="AU90" s="877"/>
      <c r="AV90" s="344"/>
      <c r="AW90" s="354"/>
    </row>
    <row r="91" spans="1:50">
      <c r="K91" s="1" t="s">
        <v>180</v>
      </c>
      <c r="L91" s="53"/>
      <c r="M91" s="1"/>
      <c r="N91" s="1"/>
      <c r="O91" s="303"/>
      <c r="P91" s="53"/>
      <c r="Q91" s="51"/>
      <c r="R91" s="51"/>
      <c r="S91" s="303"/>
      <c r="T91" s="303"/>
      <c r="U91" s="51"/>
      <c r="V91" s="51"/>
      <c r="W91" s="51"/>
      <c r="X91" s="51"/>
      <c r="Y91" s="51"/>
    </row>
    <row r="92" spans="1:50">
      <c r="K92" s="1" t="s">
        <v>181</v>
      </c>
      <c r="L92" s="53"/>
      <c r="M92" s="1"/>
      <c r="N92" s="1"/>
      <c r="O92" s="303"/>
      <c r="P92" s="53"/>
      <c r="Q92" s="51"/>
      <c r="R92" s="51"/>
      <c r="S92" s="303"/>
      <c r="T92" s="303"/>
      <c r="U92" s="51"/>
      <c r="V92" s="51"/>
      <c r="W92" s="51"/>
      <c r="X92" s="51"/>
      <c r="Y92" s="51"/>
    </row>
    <row r="93" spans="1:50">
      <c r="K93" s="1" t="s">
        <v>182</v>
      </c>
      <c r="L93" s="53"/>
      <c r="M93" s="1"/>
      <c r="N93" s="1"/>
      <c r="O93" s="303"/>
      <c r="P93" s="53"/>
      <c r="Q93" s="51"/>
      <c r="R93" s="51"/>
      <c r="S93" s="303"/>
      <c r="T93" s="303"/>
      <c r="U93" s="51"/>
      <c r="V93" s="51"/>
      <c r="W93" s="51"/>
      <c r="X93" s="51"/>
      <c r="Y93" s="51"/>
    </row>
    <row r="94" spans="1:50">
      <c r="K94" s="1" t="s">
        <v>183</v>
      </c>
      <c r="L94" s="53"/>
      <c r="M94" s="1"/>
      <c r="N94" s="1"/>
      <c r="O94" s="303"/>
      <c r="P94" s="53"/>
      <c r="Q94" s="50"/>
      <c r="R94" s="50"/>
      <c r="S94" s="303"/>
      <c r="T94" s="303"/>
      <c r="U94" s="50"/>
      <c r="V94" s="50"/>
      <c r="W94" s="50"/>
      <c r="X94" s="50"/>
      <c r="Y94" s="50"/>
    </row>
    <row r="95" spans="1:50">
      <c r="K95" s="1"/>
      <c r="L95" s="53"/>
      <c r="M95" s="1"/>
      <c r="N95" s="1"/>
      <c r="O95" s="303"/>
      <c r="P95" s="53"/>
      <c r="S95" s="303"/>
      <c r="T95" s="303"/>
    </row>
    <row r="96" spans="1:50">
      <c r="K96" s="1"/>
      <c r="L96" s="53"/>
      <c r="M96" s="1"/>
      <c r="N96" s="1"/>
      <c r="O96" s="303"/>
      <c r="P96" s="53"/>
      <c r="S96" s="303"/>
      <c r="T96" s="303"/>
    </row>
    <row r="108" spans="6:49">
      <c r="AU108" s="877"/>
      <c r="AV108" s="344"/>
      <c r="AW108" s="354"/>
    </row>
    <row r="110" spans="6:49">
      <c r="AU110" s="878"/>
      <c r="AV110" s="345"/>
      <c r="AW110" s="355"/>
    </row>
    <row r="111" spans="6:49">
      <c r="AU111" s="877"/>
      <c r="AV111" s="344"/>
      <c r="AW111" s="354"/>
    </row>
    <row r="112" spans="6:49">
      <c r="F112" s="774"/>
    </row>
    <row r="113" spans="6:6">
      <c r="F113" s="774"/>
    </row>
    <row r="114" spans="6:6">
      <c r="F114" s="774"/>
    </row>
    <row r="115" spans="6:6">
      <c r="F115" s="774"/>
    </row>
    <row r="116" spans="6:6">
      <c r="F116" s="774"/>
    </row>
    <row r="117" spans="6:6">
      <c r="F117" s="774"/>
    </row>
  </sheetData>
  <sheetProtection formatCells="0" autoFilter="0"/>
  <autoFilter ref="A3:AX111"/>
  <customSheetViews>
    <customSheetView guid="{6F2D4CBE-F5EE-4D4C-B493-385FC7957A66}" scale="85" zeroValues="0" filter="1" showAutoFilter="1" hiddenColumns="1" topLeftCell="C1">
      <pane xSplit="8" ySplit="4" topLeftCell="L6" activePane="bottomRight" state="frozen"/>
      <selection pane="bottomRight" activeCell="AA49" sqref="AA49"/>
      <pageMargins left="0.7" right="0.7" top="0.75" bottom="0.75" header="0.3" footer="0.3"/>
      <printOptions horizontalCentered="1" verticalCentered="1" gridLines="1"/>
      <pageSetup paperSize="8" orientation="landscape" r:id="rId1"/>
      <headerFooter>
        <oddFooter>&amp;L&amp;Z&amp;F, &amp;A&amp;RIssued: 30-11-2016,
Printed: &amp;D, &amp;T</oddFooter>
      </headerFooter>
      <autoFilter ref="A3:BE94">
        <filterColumn colId="8">
          <filters>
            <filter val="CJM+S"/>
            <filter val="CJMT+S"/>
            <filter val="M+S"/>
          </filters>
        </filterColumn>
        <filterColumn colId="53">
          <colorFilter dxfId="210"/>
        </filterColumn>
      </autoFilter>
    </customSheetView>
  </customSheetViews>
  <mergeCells count="1">
    <mergeCell ref="A2:B2"/>
  </mergeCells>
  <phoneticPr fontId="9"/>
  <conditionalFormatting sqref="AA3:AR3">
    <cfRule type="timePeriod" dxfId="209" priority="255" timePeriod="thisMonth">
      <formula>AND(MONTH(AA3)=MONTH(TODAY()),YEAR(AA3)=YEAR(TODAY()))</formula>
    </cfRule>
  </conditionalFormatting>
  <conditionalFormatting sqref="D51:D52 D4:D34 D38:D49 D36">
    <cfRule type="cellIs" dxfId="208" priority="231" operator="equal">
      <formula>"R"</formula>
    </cfRule>
    <cfRule type="cellIs" dxfId="207" priority="232" operator="equal">
      <formula>"N"</formula>
    </cfRule>
  </conditionalFormatting>
  <conditionalFormatting sqref="D23:D24">
    <cfRule type="cellIs" dxfId="206" priority="229" operator="equal">
      <formula>"N"</formula>
    </cfRule>
    <cfRule type="cellIs" dxfId="205" priority="230" operator="equal">
      <formula>"C"</formula>
    </cfRule>
  </conditionalFormatting>
  <conditionalFormatting sqref="D23:D24">
    <cfRule type="cellIs" dxfId="204" priority="228" operator="equal">
      <formula>"R"</formula>
    </cfRule>
  </conditionalFormatting>
  <conditionalFormatting sqref="D44">
    <cfRule type="cellIs" dxfId="203" priority="226" operator="equal">
      <formula>"N"</formula>
    </cfRule>
    <cfRule type="cellIs" dxfId="202" priority="227" operator="equal">
      <formula>"C"</formula>
    </cfRule>
  </conditionalFormatting>
  <conditionalFormatting sqref="D44">
    <cfRule type="cellIs" dxfId="201" priority="225" operator="equal">
      <formula>"R"</formula>
    </cfRule>
  </conditionalFormatting>
  <conditionalFormatting sqref="D45">
    <cfRule type="cellIs" dxfId="200" priority="223" operator="equal">
      <formula>"N"</formula>
    </cfRule>
    <cfRule type="cellIs" dxfId="199" priority="224" operator="equal">
      <formula>"C"</formula>
    </cfRule>
  </conditionalFormatting>
  <conditionalFormatting sqref="D45">
    <cfRule type="cellIs" dxfId="198" priority="222" operator="equal">
      <formula>"R"</formula>
    </cfRule>
  </conditionalFormatting>
  <conditionalFormatting sqref="D48">
    <cfRule type="cellIs" dxfId="197" priority="220" operator="equal">
      <formula>"N"</formula>
    </cfRule>
    <cfRule type="cellIs" dxfId="196" priority="221" operator="equal">
      <formula>"C"</formula>
    </cfRule>
  </conditionalFormatting>
  <conditionalFormatting sqref="D48">
    <cfRule type="cellIs" dxfId="195" priority="219" operator="equal">
      <formula>"R"</formula>
    </cfRule>
  </conditionalFormatting>
  <conditionalFormatting sqref="D49">
    <cfRule type="cellIs" dxfId="194" priority="217" operator="equal">
      <formula>"N"</formula>
    </cfRule>
    <cfRule type="cellIs" dxfId="193" priority="218" operator="equal">
      <formula>"C"</formula>
    </cfRule>
  </conditionalFormatting>
  <conditionalFormatting sqref="D49">
    <cfRule type="cellIs" dxfId="192" priority="216" operator="equal">
      <formula>"R"</formula>
    </cfRule>
  </conditionalFormatting>
  <conditionalFormatting sqref="D51">
    <cfRule type="cellIs" dxfId="191" priority="214" operator="equal">
      <formula>"N"</formula>
    </cfRule>
    <cfRule type="cellIs" dxfId="190" priority="215" operator="equal">
      <formula>"C"</formula>
    </cfRule>
  </conditionalFormatting>
  <conditionalFormatting sqref="D51">
    <cfRule type="cellIs" dxfId="189" priority="213" operator="equal">
      <formula>"R"</formula>
    </cfRule>
  </conditionalFormatting>
  <conditionalFormatting sqref="D52">
    <cfRule type="cellIs" dxfId="188" priority="211" operator="equal">
      <formula>"N"</formula>
    </cfRule>
    <cfRule type="cellIs" dxfId="187" priority="212" operator="equal">
      <formula>"C"</formula>
    </cfRule>
  </conditionalFormatting>
  <conditionalFormatting sqref="D52">
    <cfRule type="cellIs" dxfId="186" priority="210" operator="equal">
      <formula>"R"</formula>
    </cfRule>
  </conditionalFormatting>
  <conditionalFormatting sqref="AN10:AR10 AA10:AK10 AA5:AS9 AD4:AS4 AA4:AB4 AA11:AR53">
    <cfRule type="cellIs" dxfId="185" priority="209" operator="equal">
      <formula>"SOP"</formula>
    </cfRule>
  </conditionalFormatting>
  <conditionalFormatting sqref="AL10:AM10">
    <cfRule type="cellIs" dxfId="184" priority="205" operator="equal">
      <formula>""</formula>
    </cfRule>
    <cfRule type="cellIs" dxfId="183" priority="206" operator="equal">
      <formula>"SOP"</formula>
    </cfRule>
  </conditionalFormatting>
  <conditionalFormatting sqref="AL10:AM10">
    <cfRule type="cellIs" dxfId="182" priority="204" operator="equal">
      <formula>"X"</formula>
    </cfRule>
  </conditionalFormatting>
  <conditionalFormatting sqref="D37">
    <cfRule type="cellIs" dxfId="181" priority="192" operator="equal">
      <formula>"R"</formula>
    </cfRule>
    <cfRule type="cellIs" dxfId="180" priority="193" operator="equal">
      <formula>"N"</formula>
    </cfRule>
  </conditionalFormatting>
  <conditionalFormatting sqref="AA54:AR54">
    <cfRule type="cellIs" dxfId="179" priority="189" operator="equal">
      <formula>"X"</formula>
    </cfRule>
    <cfRule type="cellIs" dxfId="178" priority="190" operator="equal">
      <formula>""</formula>
    </cfRule>
    <cfRule type="cellIs" dxfId="177" priority="191" operator="equal">
      <formula>"SOP"</formula>
    </cfRule>
  </conditionalFormatting>
  <conditionalFormatting sqref="D54">
    <cfRule type="cellIs" dxfId="176" priority="180" operator="equal">
      <formula>"R"</formula>
    </cfRule>
    <cfRule type="cellIs" dxfId="175" priority="181" operator="equal">
      <formula>"N"</formula>
    </cfRule>
  </conditionalFormatting>
  <conditionalFormatting sqref="D55:D59">
    <cfRule type="cellIs" dxfId="174" priority="175" operator="equal">
      <formula>"R"</formula>
    </cfRule>
    <cfRule type="cellIs" dxfId="173" priority="176" operator="equal">
      <formula>"N"</formula>
    </cfRule>
  </conditionalFormatting>
  <conditionalFormatting sqref="AA55:AR59">
    <cfRule type="cellIs" dxfId="172" priority="172" operator="equal">
      <formula>"X"</formula>
    </cfRule>
    <cfRule type="cellIs" dxfId="171" priority="173" operator="equal">
      <formula>""</formula>
    </cfRule>
    <cfRule type="cellIs" dxfId="170" priority="174" operator="equal">
      <formula>"SOP"</formula>
    </cfRule>
  </conditionalFormatting>
  <conditionalFormatting sqref="AA60:AR60">
    <cfRule type="cellIs" dxfId="169" priority="159" operator="equal">
      <formula>"X"</formula>
    </cfRule>
    <cfRule type="cellIs" dxfId="168" priority="160" operator="equal">
      <formula>""</formula>
    </cfRule>
    <cfRule type="cellIs" dxfId="167" priority="161" operator="equal">
      <formula>"SOP"</formula>
    </cfRule>
  </conditionalFormatting>
  <conditionalFormatting sqref="D60">
    <cfRule type="cellIs" dxfId="166" priority="162" operator="equal">
      <formula>"R"</formula>
    </cfRule>
    <cfRule type="cellIs" dxfId="165" priority="163" operator="equal">
      <formula>"N"</formula>
    </cfRule>
  </conditionalFormatting>
  <conditionalFormatting sqref="AA61:AR62">
    <cfRule type="cellIs" dxfId="164" priority="151" operator="equal">
      <formula>"X"</formula>
    </cfRule>
    <cfRule type="cellIs" dxfId="163" priority="152" operator="equal">
      <formula>""</formula>
    </cfRule>
    <cfRule type="cellIs" dxfId="162" priority="153" operator="equal">
      <formula>"SOP"</formula>
    </cfRule>
  </conditionalFormatting>
  <conditionalFormatting sqref="D62">
    <cfRule type="cellIs" dxfId="161" priority="148" operator="equal">
      <formula>"R"</formula>
    </cfRule>
    <cfRule type="cellIs" dxfId="160" priority="149" operator="equal">
      <formula>"N"</formula>
    </cfRule>
  </conditionalFormatting>
  <conditionalFormatting sqref="D50">
    <cfRule type="cellIs" dxfId="159" priority="137" operator="equal">
      <formula>"R"</formula>
    </cfRule>
    <cfRule type="cellIs" dxfId="158" priority="138" operator="equal">
      <formula>"N"</formula>
    </cfRule>
  </conditionalFormatting>
  <conditionalFormatting sqref="AC4">
    <cfRule type="cellIs" dxfId="157" priority="122" operator="equal">
      <formula>""</formula>
    </cfRule>
    <cfRule type="cellIs" dxfId="156" priority="123" operator="equal">
      <formula>"SOP"</formula>
    </cfRule>
  </conditionalFormatting>
  <conditionalFormatting sqref="AC4">
    <cfRule type="cellIs" dxfId="155" priority="121" operator="equal">
      <formula>"X"</formula>
    </cfRule>
  </conditionalFormatting>
  <conditionalFormatting sqref="AA63:AR63">
    <cfRule type="cellIs" dxfId="154" priority="116" operator="equal">
      <formula>"X"</formula>
    </cfRule>
    <cfRule type="cellIs" dxfId="153" priority="117" operator="equal">
      <formula>""</formula>
    </cfRule>
    <cfRule type="cellIs" dxfId="152" priority="118" operator="equal">
      <formula>"SOP"</formula>
    </cfRule>
  </conditionalFormatting>
  <conditionalFormatting sqref="D63">
    <cfRule type="cellIs" dxfId="151" priority="113" operator="equal">
      <formula>"R"</formula>
    </cfRule>
    <cfRule type="cellIs" dxfId="150" priority="114" operator="equal">
      <formula>"N"</formula>
    </cfRule>
  </conditionalFormatting>
  <conditionalFormatting sqref="D53">
    <cfRule type="cellIs" dxfId="149" priority="110" operator="equal">
      <formula>"R"</formula>
    </cfRule>
    <cfRule type="cellIs" dxfId="148" priority="111" operator="equal">
      <formula>"N"</formula>
    </cfRule>
  </conditionalFormatting>
  <conditionalFormatting sqref="D53">
    <cfRule type="cellIs" dxfId="147" priority="108" operator="equal">
      <formula>"N"</formula>
    </cfRule>
    <cfRule type="cellIs" dxfId="146" priority="109" operator="equal">
      <formula>"C"</formula>
    </cfRule>
  </conditionalFormatting>
  <conditionalFormatting sqref="D53">
    <cfRule type="cellIs" dxfId="145" priority="107" operator="equal">
      <formula>"R"</formula>
    </cfRule>
  </conditionalFormatting>
  <conditionalFormatting sqref="D61">
    <cfRule type="cellIs" dxfId="144" priority="104" operator="equal">
      <formula>"R"</formula>
    </cfRule>
    <cfRule type="cellIs" dxfId="143" priority="105" operator="equal">
      <formula>"N"</formula>
    </cfRule>
  </conditionalFormatting>
  <conditionalFormatting sqref="D61">
    <cfRule type="cellIs" dxfId="142" priority="102" operator="equal">
      <formula>"N"</formula>
    </cfRule>
    <cfRule type="cellIs" dxfId="141" priority="103" operator="equal">
      <formula>"C"</formula>
    </cfRule>
  </conditionalFormatting>
  <conditionalFormatting sqref="D61">
    <cfRule type="cellIs" dxfId="140" priority="101" operator="equal">
      <formula>"R"</formula>
    </cfRule>
  </conditionalFormatting>
  <conditionalFormatting sqref="AN10:AR10 AA10:AK10 AA5:AR9 AD4:AR4 AA4:AB4 AA11:AR53">
    <cfRule type="cellIs" dxfId="139" priority="207" operator="equal">
      <formula>"X"</formula>
    </cfRule>
    <cfRule type="cellIs" dxfId="138" priority="208" operator="equal">
      <formula>""</formula>
    </cfRule>
  </conditionalFormatting>
  <conditionalFormatting sqref="AA64:AR64">
    <cfRule type="cellIs" dxfId="137" priority="95" operator="equal">
      <formula>"X"</formula>
    </cfRule>
    <cfRule type="cellIs" dxfId="136" priority="96" operator="equal">
      <formula>""</formula>
    </cfRule>
    <cfRule type="cellIs" dxfId="135" priority="97" operator="equal">
      <formula>"SOP"</formula>
    </cfRule>
  </conditionalFormatting>
  <conditionalFormatting sqref="D64">
    <cfRule type="cellIs" dxfId="134" priority="92" operator="equal">
      <formula>"R"</formula>
    </cfRule>
    <cfRule type="cellIs" dxfId="133" priority="93" operator="equal">
      <formula>"N"</formula>
    </cfRule>
  </conditionalFormatting>
  <conditionalFormatting sqref="AA66:AR70">
    <cfRule type="cellIs" dxfId="132" priority="86" operator="equal">
      <formula>"X"</formula>
    </cfRule>
    <cfRule type="cellIs" dxfId="131" priority="87" operator="equal">
      <formula>""</formula>
    </cfRule>
    <cfRule type="cellIs" dxfId="130" priority="88" operator="equal">
      <formula>"SOP"</formula>
    </cfRule>
  </conditionalFormatting>
  <conditionalFormatting sqref="D66:D70">
    <cfRule type="cellIs" dxfId="129" priority="83" operator="equal">
      <formula>"R"</formula>
    </cfRule>
    <cfRule type="cellIs" dxfId="128" priority="84" operator="equal">
      <formula>"N"</formula>
    </cfRule>
  </conditionalFormatting>
  <conditionalFormatting sqref="AA65:AR65">
    <cfRule type="cellIs" dxfId="127" priority="77" operator="equal">
      <formula>"X"</formula>
    </cfRule>
    <cfRule type="cellIs" dxfId="126" priority="78" operator="equal">
      <formula>""</formula>
    </cfRule>
    <cfRule type="cellIs" dxfId="125" priority="79" operator="equal">
      <formula>"SOP"</formula>
    </cfRule>
  </conditionalFormatting>
  <conditionalFormatting sqref="D65">
    <cfRule type="cellIs" dxfId="124" priority="74" operator="equal">
      <formula>"R"</formula>
    </cfRule>
    <cfRule type="cellIs" dxfId="123" priority="75" operator="equal">
      <formula>"N"</formula>
    </cfRule>
  </conditionalFormatting>
  <conditionalFormatting sqref="L70:R70 L61:S69 M71:O83 T61:Y83 L4:Y60">
    <cfRule type="containsText" dxfId="122" priority="66" operator="containsText" text="na">
      <formula>NOT(ISERROR(SEARCH("na",L4)))</formula>
    </cfRule>
    <cfRule type="timePeriod" dxfId="121" priority="67" timePeriod="nextWeek">
      <formula>AND(ROUNDDOWN(L4,0)-TODAY()&gt;(7-WEEKDAY(TODAY())),ROUNDDOWN(L4,0)-TODAY()&lt;(15-WEEKDAY(TODAY())))</formula>
    </cfRule>
    <cfRule type="timePeriod" dxfId="120" priority="69" timePeriod="thisWeek">
      <formula>AND(TODAY()-ROUNDDOWN(L4,0)&lt;=WEEKDAY(TODAY())-1,ROUNDDOWN(L4,0)-TODAY()&lt;=7-WEEKDAY(TODAY()))</formula>
    </cfRule>
    <cfRule type="timePeriod" dxfId="119" priority="70" timePeriod="lastWeek">
      <formula>AND(TODAY()-ROUNDDOWN(L4,0)&gt;=(WEEKDAY(TODAY())),TODAY()-ROUNDDOWN(L4,0)&lt;(WEEKDAY(TODAY())+7))</formula>
    </cfRule>
  </conditionalFormatting>
  <conditionalFormatting sqref="AA71:AR71">
    <cfRule type="cellIs" dxfId="118" priority="62" operator="equal">
      <formula>"X"</formula>
    </cfRule>
    <cfRule type="cellIs" dxfId="117" priority="63" operator="equal">
      <formula>""</formula>
    </cfRule>
    <cfRule type="cellIs" dxfId="116" priority="64" operator="equal">
      <formula>"SOP"</formula>
    </cfRule>
  </conditionalFormatting>
  <conditionalFormatting sqref="D71">
    <cfRule type="cellIs" dxfId="115" priority="59" operator="equal">
      <formula>"R"</formula>
    </cfRule>
    <cfRule type="cellIs" dxfId="114" priority="60" operator="equal">
      <formula>"N"</formula>
    </cfRule>
  </conditionalFormatting>
  <conditionalFormatting sqref="L71 P71:R71">
    <cfRule type="containsText" dxfId="113" priority="54" operator="containsText" text="na">
      <formula>NOT(ISERROR(SEARCH("na",L71)))</formula>
    </cfRule>
    <cfRule type="timePeriod" dxfId="112" priority="55" timePeriod="nextWeek">
      <formula>AND(ROUNDDOWN(L71,0)-TODAY()&gt;(7-WEEKDAY(TODAY())),ROUNDDOWN(L71,0)-TODAY()&lt;(15-WEEKDAY(TODAY())))</formula>
    </cfRule>
    <cfRule type="timePeriod" dxfId="111" priority="57" timePeriod="thisWeek">
      <formula>AND(TODAY()-ROUNDDOWN(L71,0)&lt;=WEEKDAY(TODAY())-1,ROUNDDOWN(L71,0)-TODAY()&lt;=7-WEEKDAY(TODAY()))</formula>
    </cfRule>
    <cfRule type="timePeriod" dxfId="110" priority="58" timePeriod="lastWeek">
      <formula>AND(TODAY()-ROUNDDOWN(L71,0)&gt;=(WEEKDAY(TODAY())),TODAY()-ROUNDDOWN(L71,0)&lt;(WEEKDAY(TODAY())+7))</formula>
    </cfRule>
  </conditionalFormatting>
  <conditionalFormatting sqref="S70:S83">
    <cfRule type="containsText" dxfId="109" priority="50" operator="containsText" text="na">
      <formula>NOT(ISERROR(SEARCH("na",S70)))</formula>
    </cfRule>
    <cfRule type="timePeriod" dxfId="108" priority="51" timePeriod="nextWeek">
      <formula>AND(ROUNDDOWN(S70,0)-TODAY()&gt;(7-WEEKDAY(TODAY())),ROUNDDOWN(S70,0)-TODAY()&lt;(15-WEEKDAY(TODAY())))</formula>
    </cfRule>
    <cfRule type="timePeriod" dxfId="107" priority="52" timePeriod="thisWeek">
      <formula>AND(TODAY()-ROUNDDOWN(S70,0)&lt;=WEEKDAY(TODAY())-1,ROUNDDOWN(S70,0)-TODAY()&lt;=7-WEEKDAY(TODAY()))</formula>
    </cfRule>
    <cfRule type="timePeriod" dxfId="106" priority="53" timePeriod="lastWeek">
      <formula>AND(TODAY()-ROUNDDOWN(S70,0)&gt;=(WEEKDAY(TODAY())),TODAY()-ROUNDDOWN(S70,0)&lt;(WEEKDAY(TODAY())+7))</formula>
    </cfRule>
  </conditionalFormatting>
  <conditionalFormatting sqref="AA72:AR82">
    <cfRule type="cellIs" dxfId="105" priority="42" operator="equal">
      <formula>"X"</formula>
    </cfRule>
    <cfRule type="cellIs" dxfId="104" priority="43" operator="equal">
      <formula>""</formula>
    </cfRule>
    <cfRule type="cellIs" dxfId="103" priority="44" operator="equal">
      <formula>"SOP"</formula>
    </cfRule>
  </conditionalFormatting>
  <conditionalFormatting sqref="D73 D75:D82">
    <cfRule type="cellIs" dxfId="102" priority="39" operator="equal">
      <formula>"R"</formula>
    </cfRule>
    <cfRule type="cellIs" dxfId="101" priority="40" operator="equal">
      <formula>"N"</formula>
    </cfRule>
  </conditionalFormatting>
  <conditionalFormatting sqref="L72:L82 P72:R82">
    <cfRule type="containsText" dxfId="100" priority="34" operator="containsText" text="na">
      <formula>NOT(ISERROR(SEARCH("na",L72)))</formula>
    </cfRule>
    <cfRule type="timePeriod" dxfId="99" priority="35" timePeriod="nextWeek">
      <formula>AND(ROUNDDOWN(L72,0)-TODAY()&gt;(7-WEEKDAY(TODAY())),ROUNDDOWN(L72,0)-TODAY()&lt;(15-WEEKDAY(TODAY())))</formula>
    </cfRule>
    <cfRule type="timePeriod" dxfId="98" priority="37" timePeriod="thisWeek">
      <formula>AND(TODAY()-ROUNDDOWN(L72,0)&lt;=WEEKDAY(TODAY())-1,ROUNDDOWN(L72,0)-TODAY()&lt;=7-WEEKDAY(TODAY()))</formula>
    </cfRule>
    <cfRule type="timePeriod" dxfId="97" priority="38" timePeriod="lastWeek">
      <formula>AND(TODAY()-ROUNDDOWN(L72,0)&gt;=(WEEKDAY(TODAY())),TODAY()-ROUNDDOWN(L72,0)&lt;(WEEKDAY(TODAY())+7))</formula>
    </cfRule>
  </conditionalFormatting>
  <conditionalFormatting sqref="D72">
    <cfRule type="cellIs" dxfId="96" priority="27" operator="equal">
      <formula>"R"</formula>
    </cfRule>
    <cfRule type="cellIs" dxfId="95" priority="28" operator="equal">
      <formula>"N"</formula>
    </cfRule>
  </conditionalFormatting>
  <conditionalFormatting sqref="AS4:AS82 AS84:AS220">
    <cfRule type="cellIs" dxfId="94" priority="26" operator="equal">
      <formula>2</formula>
    </cfRule>
    <cfRule type="cellIs" dxfId="93" priority="68" operator="equal">
      <formula>3</formula>
    </cfRule>
    <cfRule type="cellIs" dxfId="92" priority="99" operator="equal">
      <formula>1</formula>
    </cfRule>
  </conditionalFormatting>
  <conditionalFormatting sqref="AA83:AR83">
    <cfRule type="cellIs" dxfId="91" priority="9" operator="equal">
      <formula>"X"</formula>
    </cfRule>
    <cfRule type="cellIs" dxfId="90" priority="10" operator="equal">
      <formula>""</formula>
    </cfRule>
    <cfRule type="cellIs" dxfId="89" priority="11" operator="equal">
      <formula>"SOP"</formula>
    </cfRule>
  </conditionalFormatting>
  <conditionalFormatting sqref="D83">
    <cfRule type="cellIs" dxfId="88" priority="6" operator="equal">
      <formula>"R"</formula>
    </cfRule>
    <cfRule type="cellIs" dxfId="87" priority="7" operator="equal">
      <formula>"N"</formula>
    </cfRule>
  </conditionalFormatting>
  <conditionalFormatting sqref="L83 P83:R83">
    <cfRule type="containsText" dxfId="86" priority="2" operator="containsText" text="na">
      <formula>NOT(ISERROR(SEARCH("na",L83)))</formula>
    </cfRule>
    <cfRule type="timePeriod" dxfId="85" priority="3" timePeriod="nextWeek">
      <formula>AND(ROUNDDOWN(L83,0)-TODAY()&gt;(7-WEEKDAY(TODAY())),ROUNDDOWN(L83,0)-TODAY()&lt;(15-WEEKDAY(TODAY())))</formula>
    </cfRule>
    <cfRule type="timePeriod" dxfId="84" priority="4" timePeriod="thisWeek">
      <formula>AND(TODAY()-ROUNDDOWN(L83,0)&lt;=WEEKDAY(TODAY())-1,ROUNDDOWN(L83,0)-TODAY()&lt;=7-WEEKDAY(TODAY()))</formula>
    </cfRule>
    <cfRule type="timePeriod" dxfId="83" priority="5" timePeriod="lastWeek">
      <formula>AND(TODAY()-ROUNDDOWN(L83,0)&gt;=(WEEKDAY(TODAY())),TODAY()-ROUNDDOWN(L83,0)&lt;(WEEKDAY(TODAY())+7))</formula>
    </cfRule>
  </conditionalFormatting>
  <conditionalFormatting sqref="AS83">
    <cfRule type="cellIs" dxfId="82" priority="1" operator="equal">
      <formula>2</formula>
    </cfRule>
    <cfRule type="cellIs" dxfId="81" priority="22" operator="equal">
      <formula>3</formula>
    </cfRule>
    <cfRule type="cellIs" dxfId="80" priority="25" operator="equal">
      <formula>1</formula>
    </cfRule>
  </conditionalFormatting>
  <printOptions horizontalCentered="1" verticalCentered="1" gridLines="1"/>
  <pageMargins left="0.7" right="0.7" top="0.75" bottom="0.75" header="0.3" footer="0.3"/>
  <pageSetup paperSize="8" orientation="landscape" r:id="rId2"/>
  <headerFooter>
    <oddFooter>&amp;L&amp;Z&amp;F, &amp;A&amp;RIssued: 30-11-2016,
Printed: &amp;D, &amp;T</oddFooter>
  </headerFooter>
  <ignoredErrors>
    <ignoredError sqref="AA6:AR29 AA47:AR48 AL46 AA50:AR62 AM49 AA31:AR45 AA30:AK30 AM30:AR30" unlockedFormula="1"/>
  </ignoredErrors>
  <legacyDrawing r:id="rId3"/>
  <extLst>
    <ext xmlns:x14="http://schemas.microsoft.com/office/spreadsheetml/2009/9/main" uri="{78C0D931-6437-407d-A8EE-F0AAD7539E65}">
      <x14:conditionalFormattings>
        <x14:conditionalFormatting xmlns:xm="http://schemas.microsoft.com/office/excel/2006/main">
          <x14:cfRule type="containsText" priority="233" operator="containsText" id="{5715A5BC-C8C5-43B5-934F-172E505DD5D8}">
            <xm:f>NOT(ISERROR(SEARCH("C",D4)))</xm:f>
            <xm:f>"C"</xm:f>
            <x14:dxf>
              <fill>
                <patternFill>
                  <bgColor rgb="FF00B0F0"/>
                </patternFill>
              </fill>
            </x14:dxf>
          </x14:cfRule>
          <xm:sqref>D51:D52 D4:D34 D38:D49 D36</xm:sqref>
        </x14:conditionalFormatting>
        <x14:conditionalFormatting xmlns:xm="http://schemas.microsoft.com/office/excel/2006/main">
          <x14:cfRule type="containsText" priority="194" operator="containsText" id="{8EF13E8A-26E6-4FD6-8558-EB0F6062FB83}">
            <xm:f>NOT(ISERROR(SEARCH("C",D37)))</xm:f>
            <xm:f>"C"</xm:f>
            <x14:dxf>
              <fill>
                <patternFill>
                  <bgColor rgb="FF00B0F0"/>
                </patternFill>
              </fill>
            </x14:dxf>
          </x14:cfRule>
          <xm:sqref>D37</xm:sqref>
        </x14:conditionalFormatting>
        <x14:conditionalFormatting xmlns:xm="http://schemas.microsoft.com/office/excel/2006/main">
          <x14:cfRule type="containsText" priority="182" operator="containsText" id="{92254810-6133-4CCF-A33C-EE7A84B9EDED}">
            <xm:f>NOT(ISERROR(SEARCH("C",D54)))</xm:f>
            <xm:f>"C"</xm:f>
            <x14:dxf>
              <fill>
                <patternFill>
                  <bgColor rgb="FF00B0F0"/>
                </patternFill>
              </fill>
            </x14:dxf>
          </x14:cfRule>
          <xm:sqref>D54</xm:sqref>
        </x14:conditionalFormatting>
        <x14:conditionalFormatting xmlns:xm="http://schemas.microsoft.com/office/excel/2006/main">
          <x14:cfRule type="containsText" priority="177" operator="containsText" id="{B165EB84-CC50-4334-A08F-E597ED7FEE67}">
            <xm:f>NOT(ISERROR(SEARCH("C",D55)))</xm:f>
            <xm:f>"C"</xm:f>
            <x14:dxf>
              <fill>
                <patternFill>
                  <bgColor rgb="FF00B0F0"/>
                </patternFill>
              </fill>
            </x14:dxf>
          </x14:cfRule>
          <xm:sqref>D55:D59</xm:sqref>
        </x14:conditionalFormatting>
        <x14:conditionalFormatting xmlns:xm="http://schemas.microsoft.com/office/excel/2006/main">
          <x14:cfRule type="containsText" priority="164" operator="containsText" id="{E14BA0C6-40AA-4872-8216-15F81E1FD6AE}">
            <xm:f>NOT(ISERROR(SEARCH("C",D60)))</xm:f>
            <xm:f>"C"</xm:f>
            <x14:dxf>
              <fill>
                <patternFill>
                  <bgColor rgb="FF00B0F0"/>
                </patternFill>
              </fill>
            </x14:dxf>
          </x14:cfRule>
          <xm:sqref>D60</xm:sqref>
        </x14:conditionalFormatting>
        <x14:conditionalFormatting xmlns:xm="http://schemas.microsoft.com/office/excel/2006/main">
          <x14:cfRule type="containsText" priority="150" operator="containsText" id="{4AF32DCD-ECEB-4CB8-8A0C-2E78FCCA699C}">
            <xm:f>NOT(ISERROR(SEARCH("C",D62)))</xm:f>
            <xm:f>"C"</xm:f>
            <x14:dxf>
              <fill>
                <patternFill>
                  <bgColor rgb="FF00B0F0"/>
                </patternFill>
              </fill>
            </x14:dxf>
          </x14:cfRule>
          <xm:sqref>D62</xm:sqref>
        </x14:conditionalFormatting>
        <x14:conditionalFormatting xmlns:xm="http://schemas.microsoft.com/office/excel/2006/main">
          <x14:cfRule type="containsText" priority="139" operator="containsText" id="{CABF7DF9-9DB5-4959-BFB6-EE0B402401A1}">
            <xm:f>NOT(ISERROR(SEARCH("C",D50)))</xm:f>
            <xm:f>"C"</xm:f>
            <x14:dxf>
              <fill>
                <patternFill>
                  <bgColor rgb="FF00B0F0"/>
                </patternFill>
              </fill>
            </x14:dxf>
          </x14:cfRule>
          <xm:sqref>D50</xm:sqref>
        </x14:conditionalFormatting>
        <x14:conditionalFormatting xmlns:xm="http://schemas.microsoft.com/office/excel/2006/main">
          <x14:cfRule type="containsText" priority="115" operator="containsText" id="{0673D782-BAC8-41BA-9F0E-2F3D2669334B}">
            <xm:f>NOT(ISERROR(SEARCH("C",D63)))</xm:f>
            <xm:f>"C"</xm:f>
            <x14:dxf>
              <fill>
                <patternFill>
                  <bgColor rgb="FF00B0F0"/>
                </patternFill>
              </fill>
            </x14:dxf>
          </x14:cfRule>
          <xm:sqref>D63</xm:sqref>
        </x14:conditionalFormatting>
        <x14:conditionalFormatting xmlns:xm="http://schemas.microsoft.com/office/excel/2006/main">
          <x14:cfRule type="containsText" priority="112" operator="containsText" id="{742A8E12-62B4-402D-9A0D-D606A49DE12A}">
            <xm:f>NOT(ISERROR(SEARCH("C",D53)))</xm:f>
            <xm:f>"C"</xm:f>
            <x14:dxf>
              <fill>
                <patternFill>
                  <bgColor rgb="FF00B0F0"/>
                </patternFill>
              </fill>
            </x14:dxf>
          </x14:cfRule>
          <xm:sqref>D53</xm:sqref>
        </x14:conditionalFormatting>
        <x14:conditionalFormatting xmlns:xm="http://schemas.microsoft.com/office/excel/2006/main">
          <x14:cfRule type="containsText" priority="106" operator="containsText" id="{0A31B364-E922-4CB3-A2DE-F66C3EE2BB83}">
            <xm:f>NOT(ISERROR(SEARCH("C",D61)))</xm:f>
            <xm:f>"C"</xm:f>
            <x14:dxf>
              <fill>
                <patternFill>
                  <bgColor rgb="FF00B0F0"/>
                </patternFill>
              </fill>
            </x14:dxf>
          </x14:cfRule>
          <xm:sqref>D61</xm:sqref>
        </x14:conditionalFormatting>
        <x14:conditionalFormatting xmlns:xm="http://schemas.microsoft.com/office/excel/2006/main">
          <x14:cfRule type="containsText" priority="94" operator="containsText" id="{CEBFEF98-04D4-4CA1-97A0-E48D70B982BB}">
            <xm:f>NOT(ISERROR(SEARCH("C",D64)))</xm:f>
            <xm:f>"C"</xm:f>
            <x14:dxf>
              <fill>
                <patternFill>
                  <bgColor rgb="FF00B0F0"/>
                </patternFill>
              </fill>
            </x14:dxf>
          </x14:cfRule>
          <xm:sqref>D64</xm:sqref>
        </x14:conditionalFormatting>
        <x14:conditionalFormatting xmlns:xm="http://schemas.microsoft.com/office/excel/2006/main">
          <x14:cfRule type="containsText" priority="85" operator="containsText" id="{F4A1512C-D209-42CF-940C-21BB17C1D368}">
            <xm:f>NOT(ISERROR(SEARCH("C",D66)))</xm:f>
            <xm:f>"C"</xm:f>
            <x14:dxf>
              <fill>
                <patternFill>
                  <bgColor rgb="FF00B0F0"/>
                </patternFill>
              </fill>
            </x14:dxf>
          </x14:cfRule>
          <xm:sqref>D66:D70</xm:sqref>
        </x14:conditionalFormatting>
        <x14:conditionalFormatting xmlns:xm="http://schemas.microsoft.com/office/excel/2006/main">
          <x14:cfRule type="containsText" priority="76" operator="containsText" id="{97315101-F468-4518-892E-79ED9B66AB7F}">
            <xm:f>NOT(ISERROR(SEARCH("C",D65)))</xm:f>
            <xm:f>"C"</xm:f>
            <x14:dxf>
              <fill>
                <patternFill>
                  <bgColor rgb="FF00B0F0"/>
                </patternFill>
              </fill>
            </x14:dxf>
          </x14:cfRule>
          <xm:sqref>D65</xm:sqref>
        </x14:conditionalFormatting>
        <x14:conditionalFormatting xmlns:xm="http://schemas.microsoft.com/office/excel/2006/main">
          <x14:cfRule type="containsText" priority="61" operator="containsText" id="{1C94C3A2-4CB2-495B-9363-0B1783E5A888}">
            <xm:f>NOT(ISERROR(SEARCH("C",D71)))</xm:f>
            <xm:f>"C"</xm:f>
            <x14:dxf>
              <fill>
                <patternFill>
                  <bgColor rgb="FF00B0F0"/>
                </patternFill>
              </fill>
            </x14:dxf>
          </x14:cfRule>
          <xm:sqref>D71</xm:sqref>
        </x14:conditionalFormatting>
        <x14:conditionalFormatting xmlns:xm="http://schemas.microsoft.com/office/excel/2006/main">
          <x14:cfRule type="containsText" priority="41" operator="containsText" id="{73FD1358-D952-4977-9B3E-52FFF226A804}">
            <xm:f>NOT(ISERROR(SEARCH("C",D73)))</xm:f>
            <xm:f>"C"</xm:f>
            <x14:dxf>
              <fill>
                <patternFill>
                  <bgColor rgb="FF00B0F0"/>
                </patternFill>
              </fill>
            </x14:dxf>
          </x14:cfRule>
          <xm:sqref>D73 D75:D82</xm:sqref>
        </x14:conditionalFormatting>
        <x14:conditionalFormatting xmlns:xm="http://schemas.microsoft.com/office/excel/2006/main">
          <x14:cfRule type="containsText" priority="29" operator="containsText" id="{E9A9FE6E-B852-4708-9F3E-89531FE8CEAE}">
            <xm:f>NOT(ISERROR(SEARCH("C",D72)))</xm:f>
            <xm:f>"C"</xm:f>
            <x14:dxf>
              <fill>
                <patternFill>
                  <bgColor rgb="FF00B0F0"/>
                </patternFill>
              </fill>
            </x14:dxf>
          </x14:cfRule>
          <xm:sqref>D72</xm:sqref>
        </x14:conditionalFormatting>
        <x14:conditionalFormatting xmlns:xm="http://schemas.microsoft.com/office/excel/2006/main">
          <x14:cfRule type="containsText" priority="8" operator="containsText" id="{21F85420-73C2-4B2B-8958-45F606D06C2E}">
            <xm:f>NOT(ISERROR(SEARCH("C",D83)))</xm:f>
            <xm:f>"C"</xm:f>
            <x14:dxf>
              <fill>
                <patternFill>
                  <bgColor rgb="FF00B0F0"/>
                </patternFill>
              </fill>
            </x14:dxf>
          </x14:cfRule>
          <xm:sqref>D83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G124"/>
  <sheetViews>
    <sheetView showZeros="0" tabSelected="1" zoomScale="82" zoomScaleNormal="82" zoomScaleSheetLayoutView="100" workbookViewId="0">
      <pane xSplit="11" ySplit="3" topLeftCell="AO7" activePane="bottomRight" state="frozen"/>
      <selection pane="topRight" activeCell="L1" sqref="L1"/>
      <selection pane="bottomLeft" activeCell="A4" sqref="A4"/>
      <selection pane="bottomRight" activeCell="C8" sqref="C8"/>
    </sheetView>
  </sheetViews>
  <sheetFormatPr defaultColWidth="9.140625" defaultRowHeight="12.75" outlineLevelRow="1" outlineLevelCol="1"/>
  <cols>
    <col min="1" max="1" width="10.28515625" style="2" customWidth="1" outlineLevel="1"/>
    <col min="2" max="2" width="15" style="2" customWidth="1" outlineLevel="1"/>
    <col min="3" max="3" width="16.42578125" style="2" customWidth="1" outlineLevel="1"/>
    <col min="4" max="4" width="15.28515625" style="3" customWidth="1" outlineLevel="1"/>
    <col min="5" max="5" width="8.85546875" style="24" customWidth="1"/>
    <col min="6" max="6" width="5" style="24" customWidth="1"/>
    <col min="7" max="7" width="5" style="7" customWidth="1"/>
    <col min="8" max="8" width="6.5703125" style="30" customWidth="1"/>
    <col min="9" max="9" width="5.7109375" style="7" customWidth="1"/>
    <col min="10" max="10" width="36.42578125" style="7" customWidth="1" outlineLevel="1"/>
    <col min="11" max="11" width="72.7109375" style="7" customWidth="1"/>
    <col min="12" max="12" width="6" style="7" customWidth="1"/>
    <col min="13" max="13" width="7.28515625" style="7" customWidth="1"/>
    <col min="14" max="14" width="5.5703125" style="7" customWidth="1"/>
    <col min="15" max="15" width="9.42578125" style="7" customWidth="1" outlineLevel="1"/>
    <col min="16" max="16" width="10.28515625" style="14" customWidth="1" outlineLevel="1"/>
    <col min="17" max="17" width="11.42578125" style="15" customWidth="1"/>
    <col min="18" max="18" width="14.28515625" style="15" customWidth="1" outlineLevel="1"/>
    <col min="19" max="19" width="13.7109375" style="15" customWidth="1" outlineLevel="1"/>
    <col min="20" max="20" width="13.42578125" style="15" customWidth="1" outlineLevel="1"/>
    <col min="21" max="21" width="16.140625" style="15" customWidth="1" outlineLevel="1"/>
    <col min="22" max="22" width="12.42578125" style="15" customWidth="1" outlineLevel="1"/>
    <col min="23" max="23" width="14.5703125" style="15" customWidth="1" outlineLevel="1"/>
    <col min="24" max="24" width="12.140625" style="15" customWidth="1" outlineLevel="1"/>
    <col min="25" max="26" width="12.42578125" style="15" customWidth="1" outlineLevel="1"/>
    <col min="27" max="27" width="9" style="15" customWidth="1" outlineLevel="1"/>
    <col min="28" max="28" width="11.140625" style="15" customWidth="1" outlineLevel="1"/>
    <col min="29" max="29" width="10.28515625" style="15" customWidth="1" outlineLevel="1"/>
    <col min="30" max="30" width="10.42578125" style="15" customWidth="1" outlineLevel="1"/>
    <col min="31" max="31" width="7.85546875" style="15" customWidth="1" outlineLevel="1"/>
    <col min="32" max="32" width="5" style="15" customWidth="1" outlineLevel="1"/>
    <col min="33" max="33" width="7.140625" style="15" customWidth="1" outlineLevel="1"/>
    <col min="34" max="34" width="9.28515625" style="15" customWidth="1" outlineLevel="1"/>
    <col min="35" max="35" width="10.28515625" style="15" customWidth="1" outlineLevel="1"/>
    <col min="36" max="36" width="11.7109375" style="15" customWidth="1" outlineLevel="1"/>
    <col min="37" max="37" width="10.5703125" style="15" customWidth="1" outlineLevel="1"/>
    <col min="38" max="38" width="23.85546875" style="15" customWidth="1" outlineLevel="1"/>
    <col min="39" max="39" width="20.85546875" style="15" customWidth="1" outlineLevel="1"/>
    <col min="40" max="40" width="15.28515625" style="15" customWidth="1" outlineLevel="1"/>
    <col min="41" max="41" width="19.140625" style="15" customWidth="1" outlineLevel="1"/>
    <col min="42" max="42" width="16.85546875" style="15" customWidth="1" outlineLevel="1"/>
    <col min="43" max="43" width="17.42578125" style="15" customWidth="1" outlineLevel="1"/>
    <col min="44" max="44" width="14.42578125" style="52" customWidth="1" outlineLevel="1"/>
    <col min="45" max="45" width="18.42578125" style="52" customWidth="1" outlineLevel="1"/>
    <col min="46" max="58" width="5.140625" style="54" customWidth="1" outlineLevel="1"/>
    <col min="59" max="59" width="29.7109375" style="52" customWidth="1" outlineLevel="1"/>
    <col min="60" max="60" width="7.140625" style="737" customWidth="1" outlineLevel="1"/>
    <col min="61" max="61" width="6.140625" style="52" customWidth="1" outlineLevel="1"/>
    <col min="62" max="62" width="5.7109375" style="52" customWidth="1" outlineLevel="1"/>
    <col min="63" max="63" width="6" style="52" customWidth="1" outlineLevel="1"/>
    <col min="64" max="64" width="7.7109375" style="52" customWidth="1" outlineLevel="1"/>
    <col min="65" max="84" width="3.7109375" style="15" customWidth="1" outlineLevel="1"/>
    <col min="85" max="16384" width="9.140625" style="5"/>
  </cols>
  <sheetData>
    <row r="1" spans="1:85" s="23" customFormat="1" ht="71.25" customHeight="1" thickBot="1">
      <c r="A1" s="55" t="s">
        <v>1</v>
      </c>
      <c r="B1" s="55" t="s">
        <v>1</v>
      </c>
      <c r="C1" s="55" t="s">
        <v>1</v>
      </c>
      <c r="D1" s="348" t="s">
        <v>0</v>
      </c>
      <c r="E1" s="1126" t="s">
        <v>184</v>
      </c>
      <c r="F1" s="1126"/>
      <c r="G1" s="1126"/>
      <c r="H1" s="1126"/>
      <c r="I1" s="1126"/>
      <c r="J1" s="58" t="s">
        <v>0</v>
      </c>
      <c r="K1" s="1128" t="s">
        <v>184</v>
      </c>
      <c r="L1" s="1128"/>
      <c r="M1" s="1128"/>
      <c r="N1" s="1128"/>
      <c r="O1" s="1128"/>
      <c r="P1" s="1128"/>
      <c r="Q1" s="191" t="s">
        <v>0</v>
      </c>
      <c r="R1" s="61" t="s">
        <v>0</v>
      </c>
      <c r="S1" s="61" t="s">
        <v>0</v>
      </c>
      <c r="T1" s="61" t="s">
        <v>0</v>
      </c>
      <c r="U1" s="61" t="s">
        <v>0</v>
      </c>
      <c r="V1" s="61" t="s">
        <v>0</v>
      </c>
      <c r="W1" s="61" t="s">
        <v>0</v>
      </c>
      <c r="X1" s="61" t="s">
        <v>0</v>
      </c>
      <c r="Y1" s="61" t="s">
        <v>0</v>
      </c>
      <c r="Z1" s="61" t="s">
        <v>0</v>
      </c>
      <c r="AA1" s="61" t="s">
        <v>0</v>
      </c>
      <c r="AB1" s="61" t="s">
        <v>0</v>
      </c>
      <c r="AC1" s="61" t="s">
        <v>0</v>
      </c>
      <c r="AD1" s="61" t="s">
        <v>0</v>
      </c>
      <c r="AE1" s="61" t="s">
        <v>0</v>
      </c>
      <c r="AF1" s="61" t="s">
        <v>0</v>
      </c>
      <c r="AG1" s="61" t="s">
        <v>0</v>
      </c>
      <c r="AH1" s="61" t="s">
        <v>0</v>
      </c>
      <c r="AI1" s="61" t="s">
        <v>0</v>
      </c>
      <c r="AJ1" s="61" t="s">
        <v>0</v>
      </c>
      <c r="AK1" s="61" t="s">
        <v>0</v>
      </c>
      <c r="AL1" s="61" t="s">
        <v>0</v>
      </c>
      <c r="AM1" s="61" t="s">
        <v>0</v>
      </c>
      <c r="AN1" s="61" t="s">
        <v>0</v>
      </c>
      <c r="AO1" s="61" t="s">
        <v>0</v>
      </c>
      <c r="AP1" s="61" t="s">
        <v>0</v>
      </c>
      <c r="AQ1" s="61" t="s">
        <v>0</v>
      </c>
      <c r="AR1" s="1127" t="s">
        <v>185</v>
      </c>
      <c r="AS1" s="1127"/>
      <c r="AT1" s="62" t="s">
        <v>0</v>
      </c>
      <c r="AU1" s="62" t="s">
        <v>0</v>
      </c>
      <c r="AV1" s="62" t="s">
        <v>0</v>
      </c>
      <c r="AW1" s="62" t="s">
        <v>0</v>
      </c>
      <c r="AX1" s="62" t="s">
        <v>0</v>
      </c>
      <c r="AY1" s="62" t="s">
        <v>0</v>
      </c>
      <c r="AZ1" s="62" t="s">
        <v>0</v>
      </c>
      <c r="BA1" s="62" t="s">
        <v>0</v>
      </c>
      <c r="BB1" s="62" t="s">
        <v>0</v>
      </c>
      <c r="BC1" s="62" t="s">
        <v>0</v>
      </c>
      <c r="BD1" s="62" t="s">
        <v>0</v>
      </c>
      <c r="BE1" s="62" t="s">
        <v>0</v>
      </c>
      <c r="BF1" s="62" t="s">
        <v>0</v>
      </c>
      <c r="BG1" s="904" t="s">
        <v>185</v>
      </c>
      <c r="BH1" s="62" t="s">
        <v>0</v>
      </c>
      <c r="BI1" s="1129" t="s">
        <v>185</v>
      </c>
      <c r="BJ1" s="1129"/>
      <c r="BK1" s="1129"/>
      <c r="BL1" s="1129"/>
      <c r="BM1" s="192" t="s">
        <v>1</v>
      </c>
      <c r="BN1" s="192" t="s">
        <v>1</v>
      </c>
      <c r="BO1" s="192" t="s">
        <v>1</v>
      </c>
      <c r="BP1" s="192" t="s">
        <v>1</v>
      </c>
      <c r="BQ1" s="192" t="s">
        <v>1</v>
      </c>
      <c r="BR1" s="192" t="s">
        <v>1</v>
      </c>
      <c r="BS1" s="192" t="s">
        <v>1</v>
      </c>
      <c r="BT1" s="192" t="s">
        <v>1</v>
      </c>
      <c r="BU1" s="192" t="s">
        <v>1</v>
      </c>
      <c r="BV1" s="192" t="s">
        <v>1</v>
      </c>
      <c r="BW1" s="192" t="s">
        <v>1</v>
      </c>
      <c r="BX1" s="192" t="s">
        <v>1</v>
      </c>
      <c r="BY1" s="192" t="s">
        <v>1</v>
      </c>
      <c r="BZ1" s="192" t="s">
        <v>1</v>
      </c>
      <c r="CA1" s="192" t="s">
        <v>1</v>
      </c>
      <c r="CB1" s="192" t="s">
        <v>1</v>
      </c>
      <c r="CC1" s="192" t="s">
        <v>1</v>
      </c>
      <c r="CD1" s="192" t="s">
        <v>1</v>
      </c>
      <c r="CE1" s="192" t="s">
        <v>1</v>
      </c>
      <c r="CF1" s="192" t="s">
        <v>1</v>
      </c>
    </row>
    <row r="2" spans="1:85" s="17" customFormat="1" ht="16.5" customHeight="1" thickTop="1">
      <c r="A2" s="65">
        <v>1</v>
      </c>
      <c r="B2" s="65" t="s">
        <v>186</v>
      </c>
      <c r="C2" s="65" t="s">
        <v>187</v>
      </c>
      <c r="D2" s="66" t="s">
        <v>495</v>
      </c>
      <c r="E2" s="1124" t="s">
        <v>4</v>
      </c>
      <c r="F2" s="1125"/>
      <c r="G2" s="67"/>
      <c r="H2" s="68" t="s">
        <v>5</v>
      </c>
      <c r="I2" s="69">
        <f>SUBTOTAL(103,I4:I65035)</f>
        <v>80</v>
      </c>
      <c r="J2" s="92"/>
      <c r="K2" s="70">
        <v>42873</v>
      </c>
      <c r="L2" s="71"/>
      <c r="M2" s="71"/>
      <c r="N2" s="71"/>
      <c r="O2" s="72"/>
      <c r="P2" s="72"/>
      <c r="Q2" s="73">
        <v>18</v>
      </c>
      <c r="R2" s="74">
        <v>19</v>
      </c>
      <c r="S2" s="74">
        <v>20</v>
      </c>
      <c r="T2" s="73">
        <v>21</v>
      </c>
      <c r="U2" s="74">
        <v>22</v>
      </c>
      <c r="V2" s="74">
        <v>23</v>
      </c>
      <c r="W2" s="73">
        <v>24</v>
      </c>
      <c r="X2" s="74">
        <v>25</v>
      </c>
      <c r="Y2" s="74">
        <v>26</v>
      </c>
      <c r="Z2" s="73">
        <v>27</v>
      </c>
      <c r="AA2" s="74">
        <v>28</v>
      </c>
      <c r="AB2" s="74">
        <v>29</v>
      </c>
      <c r="AC2" s="73">
        <v>30</v>
      </c>
      <c r="AD2" s="74">
        <v>31</v>
      </c>
      <c r="AE2" s="74">
        <v>32</v>
      </c>
      <c r="AF2" s="73">
        <v>33</v>
      </c>
      <c r="AG2" s="74">
        <v>34</v>
      </c>
      <c r="AH2" s="74">
        <v>35</v>
      </c>
      <c r="AI2" s="74">
        <v>36</v>
      </c>
      <c r="AJ2" s="74">
        <v>37</v>
      </c>
      <c r="AK2" s="74">
        <v>38</v>
      </c>
      <c r="AL2" s="74">
        <v>39</v>
      </c>
      <c r="AM2" s="74">
        <v>40</v>
      </c>
      <c r="AN2" s="74">
        <v>41</v>
      </c>
      <c r="AO2" s="74">
        <v>42</v>
      </c>
      <c r="AP2" s="74">
        <v>43</v>
      </c>
      <c r="AQ2" s="74">
        <v>44</v>
      </c>
      <c r="AR2" s="178" t="s">
        <v>188</v>
      </c>
      <c r="AS2" s="179"/>
      <c r="AT2" s="75"/>
      <c r="AU2" s="75"/>
      <c r="AV2" s="75"/>
      <c r="AW2" s="75"/>
      <c r="AX2" s="270" t="s">
        <v>365</v>
      </c>
      <c r="AY2" s="75"/>
      <c r="AZ2" s="75"/>
      <c r="BA2" s="75"/>
      <c r="BB2" s="75"/>
      <c r="BC2" s="75"/>
      <c r="BD2" s="75"/>
      <c r="BE2" s="75"/>
      <c r="BF2" s="75"/>
      <c r="BG2" s="179"/>
      <c r="BH2" s="179"/>
      <c r="BI2" s="179"/>
      <c r="BJ2" s="179"/>
      <c r="BK2" s="179"/>
      <c r="BL2" s="179"/>
      <c r="BM2" s="193"/>
      <c r="BN2" s="193"/>
      <c r="BO2" s="194" t="s">
        <v>189</v>
      </c>
      <c r="BP2" s="195"/>
      <c r="BQ2" s="195"/>
      <c r="BR2" s="195"/>
      <c r="BS2" s="195"/>
      <c r="BT2" s="195"/>
      <c r="BU2" s="195"/>
      <c r="BV2" s="195"/>
      <c r="BW2" s="195"/>
      <c r="BX2" s="195"/>
      <c r="BY2" s="195"/>
      <c r="BZ2" s="195"/>
      <c r="CA2" s="195"/>
      <c r="CB2" s="195"/>
      <c r="CC2" s="195"/>
      <c r="CD2" s="195"/>
      <c r="CE2" s="195"/>
      <c r="CF2" s="195"/>
    </row>
    <row r="3" spans="1:85" ht="53.25" customHeight="1">
      <c r="A3" s="87">
        <v>2</v>
      </c>
      <c r="B3" s="1122" t="s">
        <v>186</v>
      </c>
      <c r="C3" s="88" t="s">
        <v>190</v>
      </c>
      <c r="D3" s="347" t="s">
        <v>315</v>
      </c>
      <c r="E3" s="1123" t="s">
        <v>11</v>
      </c>
      <c r="F3" s="180" t="s">
        <v>12</v>
      </c>
      <c r="G3" s="89" t="s">
        <v>13</v>
      </c>
      <c r="H3" s="90" t="s">
        <v>14</v>
      </c>
      <c r="I3" s="91" t="s">
        <v>15</v>
      </c>
      <c r="J3" s="92" t="s">
        <v>191</v>
      </c>
      <c r="K3" s="93" t="s">
        <v>16</v>
      </c>
      <c r="L3" s="93" t="s">
        <v>17</v>
      </c>
      <c r="M3" s="89" t="s">
        <v>18</v>
      </c>
      <c r="N3" s="94" t="s">
        <v>19</v>
      </c>
      <c r="O3" s="94" t="s">
        <v>20</v>
      </c>
      <c r="P3" s="94" t="s">
        <v>21</v>
      </c>
      <c r="Q3" s="359">
        <v>42856</v>
      </c>
      <c r="R3" s="359">
        <v>42863</v>
      </c>
      <c r="S3" s="359">
        <v>42870</v>
      </c>
      <c r="T3" s="359">
        <v>42877</v>
      </c>
      <c r="U3" s="359">
        <v>42884</v>
      </c>
      <c r="V3" s="359">
        <v>42891</v>
      </c>
      <c r="W3" s="359">
        <v>42898</v>
      </c>
      <c r="X3" s="359">
        <v>42905</v>
      </c>
      <c r="Y3" s="359">
        <v>42912</v>
      </c>
      <c r="Z3" s="359">
        <v>42919</v>
      </c>
      <c r="AA3" s="359">
        <v>42926</v>
      </c>
      <c r="AB3" s="359">
        <v>42933</v>
      </c>
      <c r="AC3" s="359">
        <v>42940</v>
      </c>
      <c r="AD3" s="359">
        <v>42947</v>
      </c>
      <c r="AE3" s="359">
        <v>42954</v>
      </c>
      <c r="AF3" s="359">
        <v>42961</v>
      </c>
      <c r="AG3" s="359">
        <v>42968</v>
      </c>
      <c r="AH3" s="359">
        <v>42975</v>
      </c>
      <c r="AI3" s="359">
        <v>42982</v>
      </c>
      <c r="AJ3" s="359">
        <v>42989</v>
      </c>
      <c r="AK3" s="359">
        <v>42996</v>
      </c>
      <c r="AL3" s="359">
        <v>43003</v>
      </c>
      <c r="AM3" s="359">
        <v>43010</v>
      </c>
      <c r="AN3" s="359">
        <v>43017</v>
      </c>
      <c r="AO3" s="359">
        <v>43024</v>
      </c>
      <c r="AP3" s="359">
        <v>43031</v>
      </c>
      <c r="AQ3" s="653">
        <v>43038</v>
      </c>
      <c r="AR3" s="362" t="s">
        <v>192</v>
      </c>
      <c r="AS3" s="362" t="s">
        <v>193</v>
      </c>
      <c r="AT3" s="654" t="s">
        <v>194</v>
      </c>
      <c r="AU3" s="360" t="s">
        <v>195</v>
      </c>
      <c r="AV3" s="360" t="s">
        <v>196</v>
      </c>
      <c r="AW3" s="360" t="s">
        <v>197</v>
      </c>
      <c r="AX3" s="360" t="s">
        <v>198</v>
      </c>
      <c r="AY3" s="360" t="s">
        <v>199</v>
      </c>
      <c r="AZ3" s="360" t="s">
        <v>200</v>
      </c>
      <c r="BA3" s="361" t="s">
        <v>201</v>
      </c>
      <c r="BB3" s="360" t="s">
        <v>202</v>
      </c>
      <c r="BC3" s="360" t="s">
        <v>203</v>
      </c>
      <c r="BD3" s="360" t="s">
        <v>22</v>
      </c>
      <c r="BE3" s="360" t="s">
        <v>204</v>
      </c>
      <c r="BF3" s="360" t="s">
        <v>205</v>
      </c>
      <c r="BG3" s="362" t="s">
        <v>206</v>
      </c>
      <c r="BH3" s="362" t="s">
        <v>348</v>
      </c>
      <c r="BI3" s="362" t="s">
        <v>26</v>
      </c>
      <c r="BJ3" s="362" t="s">
        <v>12</v>
      </c>
      <c r="BK3" s="362" t="s">
        <v>5</v>
      </c>
      <c r="BL3" s="362" t="s">
        <v>27</v>
      </c>
      <c r="BM3" s="196" t="s">
        <v>207</v>
      </c>
      <c r="BN3" s="196" t="s">
        <v>208</v>
      </c>
      <c r="BO3" s="197" t="s">
        <v>209</v>
      </c>
      <c r="BP3" s="197" t="s">
        <v>210</v>
      </c>
      <c r="BQ3" s="197" t="s">
        <v>496</v>
      </c>
      <c r="BR3" s="197" t="s">
        <v>211</v>
      </c>
      <c r="BS3" s="197" t="s">
        <v>212</v>
      </c>
      <c r="BT3" s="197" t="s">
        <v>213</v>
      </c>
      <c r="BU3" s="198" t="s">
        <v>214</v>
      </c>
      <c r="BV3" s="199" t="s">
        <v>215</v>
      </c>
      <c r="BW3" s="197" t="s">
        <v>216</v>
      </c>
      <c r="BX3" s="197" t="s">
        <v>217</v>
      </c>
      <c r="BY3" s="197" t="s">
        <v>218</v>
      </c>
      <c r="BZ3" s="197" t="s">
        <v>219</v>
      </c>
      <c r="CA3" s="197" t="s">
        <v>220</v>
      </c>
      <c r="CB3" s="197" t="s">
        <v>221</v>
      </c>
      <c r="CC3" s="197" t="s">
        <v>222</v>
      </c>
      <c r="CD3" s="197" t="s">
        <v>223</v>
      </c>
      <c r="CE3" s="197" t="s">
        <v>224</v>
      </c>
      <c r="CF3" s="197" t="s">
        <v>224</v>
      </c>
    </row>
    <row r="4" spans="1:85" s="203" customFormat="1" ht="13.5" outlineLevel="1" thickBot="1">
      <c r="A4" s="200">
        <v>3</v>
      </c>
      <c r="B4" s="201" t="s">
        <v>225</v>
      </c>
      <c r="C4" s="201" t="s">
        <v>225</v>
      </c>
      <c r="D4" s="201" t="s">
        <v>225</v>
      </c>
      <c r="E4" s="466">
        <f>MFC!A4</f>
        <v>0</v>
      </c>
      <c r="F4" s="466">
        <f>MFC!B4</f>
        <v>0</v>
      </c>
      <c r="G4" s="467">
        <f>MFC!C4</f>
        <v>120</v>
      </c>
      <c r="H4" s="468" t="str">
        <f>MFC!D4</f>
        <v>R</v>
      </c>
      <c r="I4" s="469" t="str">
        <f>MFC!E4</f>
        <v>068</v>
      </c>
      <c r="J4" s="470" t="s">
        <v>226</v>
      </c>
      <c r="K4" s="471" t="str">
        <f>MFC!F4</f>
        <v>Nippon Phase 3 24/9 Jatco  [+Suzuki]</v>
      </c>
      <c r="L4" s="472" t="str">
        <f>MFC!G4</f>
        <v>HcP</v>
      </c>
      <c r="M4" s="473" t="str">
        <f>MFC!H4</f>
        <v>EL</v>
      </c>
      <c r="N4" s="472" t="str">
        <f>MFC!I4</f>
        <v>CJMT+S</v>
      </c>
      <c r="O4" s="474">
        <f>MFC!J4</f>
        <v>0</v>
      </c>
      <c r="P4" s="474" t="str">
        <f>MFC!K4</f>
        <v>P16-293</v>
      </c>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655">
        <f>MFC!L4</f>
        <v>42538</v>
      </c>
      <c r="AS4" s="655">
        <f>MFC!P4</f>
        <v>42614</v>
      </c>
      <c r="AT4" s="476"/>
      <c r="AU4" s="476"/>
      <c r="AV4" s="476"/>
      <c r="AW4" s="476"/>
      <c r="AX4" s="476"/>
      <c r="AY4" s="477" t="s">
        <v>227</v>
      </c>
      <c r="AZ4" s="476"/>
      <c r="BA4" s="476"/>
      <c r="BB4" s="476"/>
      <c r="BC4" s="476"/>
      <c r="BD4" s="476"/>
      <c r="BE4" s="476"/>
      <c r="BF4" s="476"/>
      <c r="BG4" s="478">
        <f>MFC!Q4</f>
        <v>42689</v>
      </c>
      <c r="BH4" s="729" t="s">
        <v>349</v>
      </c>
      <c r="BI4" s="478">
        <f>MFC!R4</f>
        <v>42755</v>
      </c>
      <c r="BJ4" s="478">
        <f>MFC!U4</f>
        <v>42797</v>
      </c>
      <c r="BK4" s="479">
        <f>MFC!W4</f>
        <v>42808</v>
      </c>
      <c r="BL4" s="479">
        <f>MFC!Y4</f>
        <v>42809</v>
      </c>
      <c r="BM4" s="102"/>
      <c r="BN4" s="102"/>
      <c r="BO4" s="102"/>
      <c r="BP4" s="102"/>
      <c r="BQ4" s="102"/>
      <c r="BR4" s="102"/>
      <c r="BS4" s="102"/>
      <c r="BT4" s="102"/>
      <c r="BU4" s="102"/>
      <c r="BV4" s="102"/>
      <c r="BW4" s="102"/>
      <c r="BX4" s="102"/>
      <c r="BY4" s="102"/>
      <c r="BZ4" s="102"/>
      <c r="CA4" s="102"/>
      <c r="CB4" s="102"/>
      <c r="CC4" s="102"/>
      <c r="CD4" s="102">
        <v>42797</v>
      </c>
      <c r="CE4" s="102"/>
      <c r="CF4" s="102"/>
    </row>
    <row r="5" spans="1:85" s="206" customFormat="1" outlineLevel="1">
      <c r="A5" s="204">
        <v>4</v>
      </c>
      <c r="B5" s="205" t="s">
        <v>225</v>
      </c>
      <c r="C5" s="205" t="s">
        <v>225</v>
      </c>
      <c r="D5" s="480" t="s">
        <v>225</v>
      </c>
      <c r="E5" s="481">
        <f>MFC!A5</f>
        <v>0</v>
      </c>
      <c r="F5" s="481">
        <f>MFC!B5</f>
        <v>0</v>
      </c>
      <c r="G5" s="482">
        <f>MFC!C5</f>
        <v>96</v>
      </c>
      <c r="H5" s="483" t="str">
        <f>MFC!D5</f>
        <v>R</v>
      </c>
      <c r="I5" s="484" t="str">
        <f>MFC!E5</f>
        <v>072</v>
      </c>
      <c r="J5" s="485" t="s">
        <v>228</v>
      </c>
      <c r="K5" s="486" t="str">
        <f>MFC!F5</f>
        <v>Nippon Phase 3 24/6 Jatco  [+Suzuki]</v>
      </c>
      <c r="L5" s="487" t="str">
        <f>MFC!G5</f>
        <v>HcP</v>
      </c>
      <c r="M5" s="488" t="str">
        <f>MFC!H5</f>
        <v>EL</v>
      </c>
      <c r="N5" s="487" t="str">
        <f>MFC!I5</f>
        <v>CJMT+S</v>
      </c>
      <c r="O5" s="489" t="str">
        <f>MFC!J5</f>
        <v>FPDR</v>
      </c>
      <c r="P5" s="489" t="str">
        <f>MFC!K5</f>
        <v>P16-020</v>
      </c>
      <c r="Q5" s="490"/>
      <c r="R5" s="490"/>
      <c r="S5" s="490"/>
      <c r="T5" s="490"/>
      <c r="U5" s="490"/>
      <c r="V5" s="490"/>
      <c r="W5" s="490"/>
      <c r="X5" s="490"/>
      <c r="Y5" s="490"/>
      <c r="Z5" s="490"/>
      <c r="AA5" s="490"/>
      <c r="AB5" s="490"/>
      <c r="AC5" s="490"/>
      <c r="AD5" s="490"/>
      <c r="AE5" s="490"/>
      <c r="AF5" s="490"/>
      <c r="AG5" s="490"/>
      <c r="AH5" s="490"/>
      <c r="AI5" s="490"/>
      <c r="AJ5" s="490"/>
      <c r="AK5" s="490"/>
      <c r="AL5" s="490"/>
      <c r="AM5" s="490"/>
      <c r="AN5" s="490"/>
      <c r="AO5" s="490"/>
      <c r="AP5" s="490"/>
      <c r="AQ5" s="490"/>
      <c r="AR5" s="656">
        <f>MFC!L5</f>
        <v>0</v>
      </c>
      <c r="AS5" s="656">
        <f>MFC!P5</f>
        <v>0</v>
      </c>
      <c r="AT5" s="491"/>
      <c r="AU5" s="491"/>
      <c r="AV5" s="491"/>
      <c r="AW5" s="491"/>
      <c r="AX5" s="491"/>
      <c r="AY5" s="492" t="s">
        <v>229</v>
      </c>
      <c r="AZ5" s="491"/>
      <c r="BA5" s="491"/>
      <c r="BB5" s="491"/>
      <c r="BC5" s="491"/>
      <c r="BD5" s="491"/>
      <c r="BE5" s="491"/>
      <c r="BF5" s="491"/>
      <c r="BG5" s="493">
        <f>MFC!Q5</f>
        <v>0</v>
      </c>
      <c r="BH5" s="730" t="s">
        <v>349</v>
      </c>
      <c r="BI5" s="493">
        <f>MFC!R5</f>
        <v>0</v>
      </c>
      <c r="BJ5" s="493">
        <f>MFC!U5</f>
        <v>42593</v>
      </c>
      <c r="BK5" s="494">
        <f>MFC!W5</f>
        <v>42675</v>
      </c>
      <c r="BL5" s="494">
        <f>MFC!Y5</f>
        <v>42681</v>
      </c>
      <c r="BM5" s="102"/>
      <c r="BN5" s="102"/>
      <c r="BO5" s="102"/>
      <c r="BP5" s="102"/>
      <c r="BQ5" s="102"/>
      <c r="BR5" s="102"/>
      <c r="BS5" s="102"/>
      <c r="BT5" s="102"/>
      <c r="BU5" s="102"/>
      <c r="BV5" s="102"/>
      <c r="BW5" s="102"/>
      <c r="BX5" s="102"/>
      <c r="BY5" s="102"/>
      <c r="BZ5" s="102"/>
      <c r="CA5" s="102"/>
      <c r="CB5" s="102"/>
      <c r="CC5" s="102"/>
      <c r="CD5" s="102" t="s">
        <v>230</v>
      </c>
      <c r="CE5" s="102"/>
      <c r="CF5" s="102"/>
    </row>
    <row r="6" spans="1:85" s="206" customFormat="1">
      <c r="A6" s="207">
        <v>5</v>
      </c>
      <c r="B6" s="208"/>
      <c r="C6" s="209" t="s">
        <v>225</v>
      </c>
      <c r="D6" s="209" t="s">
        <v>225</v>
      </c>
      <c r="E6" s="363">
        <f>MFC!A6</f>
        <v>0</v>
      </c>
      <c r="F6" s="363">
        <f>MFC!B6</f>
        <v>0</v>
      </c>
      <c r="G6" s="364">
        <f>MFC!C6</f>
        <v>82</v>
      </c>
      <c r="H6" s="378">
        <f>MFC!D6</f>
        <v>0</v>
      </c>
      <c r="I6" s="366" t="str">
        <f>MFC!E6</f>
        <v>072</v>
      </c>
      <c r="J6" s="367" t="s">
        <v>330</v>
      </c>
      <c r="K6" s="379" t="str">
        <f>MFC!F6</f>
        <v>Aut. LS CKD to SlpP Jatco 072</v>
      </c>
      <c r="L6" s="369" t="str">
        <f>MFC!G6</f>
        <v>TbP</v>
      </c>
      <c r="M6" s="370" t="str">
        <f>MFC!H6</f>
        <v>LC</v>
      </c>
      <c r="N6" s="369" t="str">
        <f>MFC!I6</f>
        <v>M+S</v>
      </c>
      <c r="O6" s="371" t="str">
        <f>MFC!J6</f>
        <v>QRCA</v>
      </c>
      <c r="P6" s="371" t="str">
        <f>MFC!K6</f>
        <v>P14-382</v>
      </c>
      <c r="Q6" s="372"/>
      <c r="R6" s="380"/>
      <c r="S6" s="380"/>
      <c r="T6" s="381" t="s">
        <v>231</v>
      </c>
      <c r="U6" s="380"/>
      <c r="V6" s="380"/>
      <c r="W6" s="382" t="s">
        <v>232</v>
      </c>
      <c r="X6" s="382" t="s">
        <v>233</v>
      </c>
      <c r="Y6" s="382" t="s">
        <v>234</v>
      </c>
      <c r="Z6" s="380"/>
      <c r="AA6" s="380"/>
      <c r="AB6" s="380"/>
      <c r="AC6" s="380"/>
      <c r="AD6" s="380"/>
      <c r="AE6" s="380"/>
      <c r="AF6" s="380"/>
      <c r="AG6" s="380"/>
      <c r="AH6" s="380"/>
      <c r="AI6" s="380"/>
      <c r="AJ6" s="380"/>
      <c r="AK6" s="380"/>
      <c r="AL6" s="380"/>
      <c r="AM6" s="380"/>
      <c r="AN6" s="380"/>
      <c r="AO6" s="380"/>
      <c r="AP6" s="380"/>
      <c r="AQ6" s="380"/>
      <c r="AR6" s="678">
        <f>MFC!L6</f>
        <v>41884</v>
      </c>
      <c r="AS6" s="678">
        <f>MFC!P6</f>
        <v>41887</v>
      </c>
      <c r="AT6" s="973"/>
      <c r="AU6" s="373"/>
      <c r="AV6" s="373"/>
      <c r="AW6" s="373"/>
      <c r="AX6" s="373"/>
      <c r="AY6" s="373"/>
      <c r="AZ6" s="373"/>
      <c r="BA6" s="973"/>
      <c r="BB6" s="973"/>
      <c r="BC6" s="989">
        <v>42766</v>
      </c>
      <c r="BD6" s="989">
        <v>42766</v>
      </c>
      <c r="BE6" s="989">
        <v>42766</v>
      </c>
      <c r="BF6" s="989">
        <v>42880</v>
      </c>
      <c r="BG6" s="1067">
        <f>MFC!Q6</f>
        <v>0</v>
      </c>
      <c r="BH6" s="421" t="s">
        <v>352</v>
      </c>
      <c r="BI6" s="413">
        <f>MFC!R6</f>
        <v>42902</v>
      </c>
      <c r="BJ6" s="1043">
        <f>MFC!U6</f>
        <v>42999</v>
      </c>
      <c r="BK6" s="1044">
        <f>MFC!W6</f>
        <v>43132</v>
      </c>
      <c r="BL6" s="1044">
        <f>MFC!Y6</f>
        <v>43146</v>
      </c>
      <c r="BM6" s="111"/>
      <c r="BN6" s="111"/>
      <c r="BO6" s="111"/>
      <c r="BP6" s="111"/>
      <c r="BQ6" s="111"/>
      <c r="BR6" s="111"/>
      <c r="BS6" s="111"/>
      <c r="BT6" s="111"/>
      <c r="BU6" s="111"/>
      <c r="BV6" s="111"/>
      <c r="BW6" s="111"/>
      <c r="BX6" s="111"/>
      <c r="BY6" s="111"/>
      <c r="BZ6" s="111">
        <v>42822</v>
      </c>
      <c r="CA6" s="111">
        <v>42822</v>
      </c>
      <c r="CB6" s="111"/>
      <c r="CC6" s="111"/>
      <c r="CD6" s="111"/>
      <c r="CE6" s="111"/>
      <c r="CF6" s="111"/>
    </row>
    <row r="7" spans="1:85" s="206" customFormat="1" ht="12.75" customHeight="1">
      <c r="A7" s="207">
        <v>6</v>
      </c>
      <c r="B7" s="209" t="s">
        <v>225</v>
      </c>
      <c r="C7" s="209"/>
      <c r="D7" s="209" t="s">
        <v>225</v>
      </c>
      <c r="E7" s="363">
        <f>MFC!A7</f>
        <v>0</v>
      </c>
      <c r="F7" s="363">
        <f>MFC!B7</f>
        <v>42908</v>
      </c>
      <c r="G7" s="364">
        <f>MFC!C7</f>
        <v>444</v>
      </c>
      <c r="H7" s="365" t="str">
        <f>MFC!D7</f>
        <v>R</v>
      </c>
      <c r="I7" s="366" t="str">
        <f>MFC!E7</f>
        <v>072</v>
      </c>
      <c r="J7" s="385" t="s">
        <v>235</v>
      </c>
      <c r="K7" s="368" t="str">
        <f>MFC!F7</f>
        <v>Relocation LL7 conventional ring line</v>
      </c>
      <c r="L7" s="369" t="str">
        <f>MFC!G7</f>
        <v>HcP</v>
      </c>
      <c r="M7" s="370" t="str">
        <f>MFC!H7</f>
        <v>LL07</v>
      </c>
      <c r="N7" s="369" t="str">
        <f>MFC!I7</f>
        <v>CJMT+S</v>
      </c>
      <c r="O7" s="386">
        <f>MFC!J7</f>
        <v>0</v>
      </c>
      <c r="P7" s="387" t="str">
        <f>MFC!K7</f>
        <v>P17-wait</v>
      </c>
      <c r="Q7" s="372"/>
      <c r="R7" s="372" t="s">
        <v>180</v>
      </c>
      <c r="S7" s="372"/>
      <c r="T7" s="388"/>
      <c r="U7" s="372" t="s">
        <v>231</v>
      </c>
      <c r="V7" s="372" t="s">
        <v>236</v>
      </c>
      <c r="W7" s="372" t="s">
        <v>232</v>
      </c>
      <c r="X7" s="372" t="s">
        <v>233</v>
      </c>
      <c r="Y7" s="372" t="s">
        <v>234</v>
      </c>
      <c r="Z7" s="372"/>
      <c r="AA7" s="372"/>
      <c r="AB7" s="372"/>
      <c r="AC7" s="372"/>
      <c r="AD7" s="372"/>
      <c r="AE7" s="372"/>
      <c r="AF7" s="372"/>
      <c r="AG7" s="372"/>
      <c r="AH7" s="372"/>
      <c r="AI7" s="372"/>
      <c r="AJ7" s="372"/>
      <c r="AK7" s="372"/>
      <c r="AL7" s="372"/>
      <c r="AM7" s="372"/>
      <c r="AN7" s="372"/>
      <c r="AO7" s="372"/>
      <c r="AP7" s="372"/>
      <c r="AQ7" s="372"/>
      <c r="AR7" s="658">
        <f>MFC!L7</f>
        <v>42797</v>
      </c>
      <c r="AS7" s="659">
        <f>MFC!P7</f>
        <v>42849</v>
      </c>
      <c r="AT7" s="389">
        <v>42814</v>
      </c>
      <c r="AU7" s="373"/>
      <c r="AV7" s="373"/>
      <c r="AW7" s="373"/>
      <c r="AX7" s="373"/>
      <c r="AY7" s="373"/>
      <c r="AZ7" s="373"/>
      <c r="BA7" s="389">
        <v>42815</v>
      </c>
      <c r="BB7" s="389">
        <v>42851</v>
      </c>
      <c r="BC7" s="389">
        <v>42851</v>
      </c>
      <c r="BD7" s="389">
        <v>42864</v>
      </c>
      <c r="BE7" s="389">
        <v>42887</v>
      </c>
      <c r="BF7" s="389">
        <v>42887</v>
      </c>
      <c r="BG7" s="375">
        <f>MFC!Q7</f>
        <v>42864</v>
      </c>
      <c r="BH7" s="390" t="s">
        <v>349</v>
      </c>
      <c r="BI7" s="390">
        <f>MFC!R7</f>
        <v>42887</v>
      </c>
      <c r="BJ7" s="375">
        <f>MFC!U7</f>
        <v>42908</v>
      </c>
      <c r="BK7" s="376">
        <f>MFC!W7</f>
        <v>42919</v>
      </c>
      <c r="BL7" s="376">
        <f>MFC!Y7</f>
        <v>42947</v>
      </c>
      <c r="BM7" s="111"/>
      <c r="BN7" s="111"/>
      <c r="BO7" s="111"/>
      <c r="BP7" s="111"/>
      <c r="BQ7" s="111"/>
      <c r="BR7" s="111"/>
      <c r="BS7" s="111"/>
      <c r="BT7" s="111"/>
      <c r="BU7" s="111"/>
      <c r="BV7" s="111"/>
      <c r="BW7" s="111"/>
      <c r="BX7" s="111"/>
      <c r="BY7" s="111"/>
      <c r="BZ7" s="111"/>
      <c r="CA7" s="111"/>
      <c r="CB7" s="111"/>
      <c r="CC7" s="111"/>
      <c r="CD7" s="111"/>
      <c r="CE7" s="111"/>
      <c r="CF7" s="111"/>
    </row>
    <row r="8" spans="1:85" s="203" customFormat="1" ht="12.75" customHeight="1" thickBot="1">
      <c r="A8" s="211">
        <v>7</v>
      </c>
      <c r="B8" s="201" t="s">
        <v>225</v>
      </c>
      <c r="C8" s="201" t="s">
        <v>225</v>
      </c>
      <c r="D8" s="201" t="s">
        <v>225</v>
      </c>
      <c r="E8" s="466">
        <f>MFC!A8</f>
        <v>0</v>
      </c>
      <c r="F8" s="466">
        <f>MFC!B8</f>
        <v>0</v>
      </c>
      <c r="G8" s="1006">
        <f>MFC!C8</f>
        <v>92</v>
      </c>
      <c r="H8" s="495" t="str">
        <f>MFC!D8</f>
        <v>R</v>
      </c>
      <c r="I8" s="469" t="str">
        <f>MFC!E8</f>
        <v>072</v>
      </c>
      <c r="J8" s="470" t="s">
        <v>324</v>
      </c>
      <c r="K8" s="496" t="str">
        <f>MFC!F8</f>
        <v xml:space="preserve">LS CKD HcP to SlpP 072 </v>
      </c>
      <c r="L8" s="472" t="str">
        <f>MFC!G8</f>
        <v>HcP</v>
      </c>
      <c r="M8" s="473" t="str">
        <f>MFC!H8</f>
        <v>LC</v>
      </c>
      <c r="N8" s="472" t="str">
        <f>MFC!I8</f>
        <v>M+S</v>
      </c>
      <c r="O8" s="497" t="str">
        <f>MFC!J8</f>
        <v>DR#0/1</v>
      </c>
      <c r="P8" s="498" t="str">
        <f>MFC!K8</f>
        <v>JMex</v>
      </c>
      <c r="Q8" s="475"/>
      <c r="R8" s="499"/>
      <c r="S8" s="499"/>
      <c r="T8" s="500"/>
      <c r="U8" s="499"/>
      <c r="V8" s="499"/>
      <c r="W8" s="501"/>
      <c r="X8" s="499"/>
      <c r="Y8" s="499"/>
      <c r="Z8" s="499"/>
      <c r="AA8" s="499" t="s">
        <v>236</v>
      </c>
      <c r="AB8" s="499" t="s">
        <v>237</v>
      </c>
      <c r="AC8" s="499"/>
      <c r="AD8" s="502" t="s">
        <v>232</v>
      </c>
      <c r="AE8" s="502"/>
      <c r="AF8" s="502" t="s">
        <v>233</v>
      </c>
      <c r="AG8" s="499"/>
      <c r="AH8" s="499"/>
      <c r="AI8" s="499"/>
      <c r="AJ8" s="499"/>
      <c r="AK8" s="499"/>
      <c r="AL8" s="499"/>
      <c r="AM8" s="499"/>
      <c r="AN8" s="499"/>
      <c r="AO8" s="499"/>
      <c r="AP8" s="499"/>
      <c r="AQ8" s="499"/>
      <c r="AR8" s="675">
        <f>MFC!L8</f>
        <v>42751</v>
      </c>
      <c r="AS8" s="675">
        <f>MFC!P8</f>
        <v>42739</v>
      </c>
      <c r="AT8" s="974">
        <v>42796</v>
      </c>
      <c r="AU8" s="476"/>
      <c r="AV8" s="476"/>
      <c r="AW8" s="476"/>
      <c r="AX8" s="476"/>
      <c r="AY8" s="476"/>
      <c r="AZ8" s="476"/>
      <c r="BA8" s="974">
        <v>43081</v>
      </c>
      <c r="BB8" s="476"/>
      <c r="BC8" s="989">
        <v>42823</v>
      </c>
      <c r="BD8" s="989">
        <v>42844</v>
      </c>
      <c r="BE8" s="1000">
        <v>43018</v>
      </c>
      <c r="BF8" s="1000">
        <v>43018</v>
      </c>
      <c r="BG8" s="1001">
        <f>MFC!Q8</f>
        <v>42963</v>
      </c>
      <c r="BH8" s="998">
        <v>43024</v>
      </c>
      <c r="BI8" s="1001">
        <f>MFC!R8</f>
        <v>43007</v>
      </c>
      <c r="BJ8" s="1001">
        <f>MFC!U8</f>
        <v>43041</v>
      </c>
      <c r="BK8" s="1019">
        <f>MFC!W8</f>
        <v>43048</v>
      </c>
      <c r="BL8" s="1019">
        <f>MFC!Y8</f>
        <v>43040</v>
      </c>
      <c r="BM8" s="111"/>
      <c r="BN8" s="111"/>
      <c r="BO8" s="111"/>
      <c r="BP8" s="111"/>
      <c r="BQ8" s="111"/>
      <c r="BR8" s="111"/>
      <c r="BS8" s="111"/>
      <c r="BT8" s="111"/>
      <c r="BU8" s="111"/>
      <c r="BV8" s="111"/>
      <c r="BW8" s="111">
        <v>42823</v>
      </c>
      <c r="BX8" s="111">
        <v>42823</v>
      </c>
      <c r="BY8" s="111"/>
      <c r="BZ8" s="111"/>
      <c r="CA8" s="111"/>
      <c r="CB8" s="111"/>
      <c r="CC8" s="111"/>
      <c r="CD8" s="111"/>
      <c r="CE8" s="111"/>
      <c r="CF8" s="111"/>
    </row>
    <row r="9" spans="1:85" s="206" customFormat="1" ht="12.75" customHeight="1" outlineLevel="1">
      <c r="A9" s="212">
        <v>9</v>
      </c>
      <c r="B9" s="213"/>
      <c r="C9" s="205" t="s">
        <v>225</v>
      </c>
      <c r="D9" s="503"/>
      <c r="E9" s="481">
        <f>MFC!A9</f>
        <v>0</v>
      </c>
      <c r="F9" s="481">
        <f>MFC!B9</f>
        <v>0</v>
      </c>
      <c r="G9" s="482">
        <f>MFC!C9</f>
        <v>369</v>
      </c>
      <c r="H9" s="504" t="str">
        <f>MFC!D9</f>
        <v>R</v>
      </c>
      <c r="I9" s="505" t="str">
        <f>MFC!E9</f>
        <v>078</v>
      </c>
      <c r="J9" s="506" t="s">
        <v>238</v>
      </c>
      <c r="K9" s="507" t="str">
        <f>MFC!F9</f>
        <v>LS CKD TbP to HcP 078</v>
      </c>
      <c r="L9" s="487" t="str">
        <f>MFC!G9</f>
        <v>TbP</v>
      </c>
      <c r="M9" s="488" t="str">
        <f>MFC!H9</f>
        <v>LC</v>
      </c>
      <c r="N9" s="487" t="str">
        <f>MFC!I9</f>
        <v>CJMT+S</v>
      </c>
      <c r="O9" s="508" t="str">
        <f>MFC!J9</f>
        <v>FPDR</v>
      </c>
      <c r="P9" s="509" t="str">
        <f>MFC!K9</f>
        <v>see 110</v>
      </c>
      <c r="Q9" s="490"/>
      <c r="R9" s="490" t="s">
        <v>233</v>
      </c>
      <c r="S9" s="490"/>
      <c r="T9" s="490"/>
      <c r="U9" s="490" t="s">
        <v>234</v>
      </c>
      <c r="V9" s="490"/>
      <c r="W9" s="490"/>
      <c r="X9" s="490"/>
      <c r="Y9" s="490"/>
      <c r="Z9" s="490"/>
      <c r="AA9" s="490"/>
      <c r="AB9" s="490"/>
      <c r="AC9" s="490"/>
      <c r="AD9" s="490"/>
      <c r="AE9" s="490"/>
      <c r="AF9" s="490"/>
      <c r="AG9" s="490"/>
      <c r="AH9" s="490"/>
      <c r="AI9" s="490"/>
      <c r="AJ9" s="490"/>
      <c r="AK9" s="490"/>
      <c r="AL9" s="490"/>
      <c r="AM9" s="490"/>
      <c r="AN9" s="490"/>
      <c r="AO9" s="490"/>
      <c r="AP9" s="490"/>
      <c r="AQ9" s="490"/>
      <c r="AR9" s="660">
        <f>MFC!L9</f>
        <v>0</v>
      </c>
      <c r="AS9" s="660">
        <f>MFC!P9</f>
        <v>0</v>
      </c>
      <c r="AT9" s="491"/>
      <c r="AU9" s="491"/>
      <c r="AV9" s="491"/>
      <c r="AW9" s="491"/>
      <c r="AX9" s="491"/>
      <c r="AY9" s="491"/>
      <c r="AZ9" s="491"/>
      <c r="BA9" s="491"/>
      <c r="BB9" s="491"/>
      <c r="BC9" s="491"/>
      <c r="BD9" s="491"/>
      <c r="BE9" s="491"/>
      <c r="BF9" s="491"/>
      <c r="BG9" s="493">
        <f>MFC!Q9</f>
        <v>0</v>
      </c>
      <c r="BH9" s="730" t="s">
        <v>350</v>
      </c>
      <c r="BI9" s="493">
        <f>MFC!R9</f>
        <v>0</v>
      </c>
      <c r="BJ9" s="493">
        <f>MFC!U9</f>
        <v>0</v>
      </c>
      <c r="BK9" s="494">
        <f>MFC!W9</f>
        <v>42863</v>
      </c>
      <c r="BL9" s="494">
        <f>MFC!Y9</f>
        <v>42887</v>
      </c>
      <c r="BM9" s="112"/>
      <c r="BN9" s="112"/>
      <c r="BO9" s="112"/>
      <c r="BP9" s="112"/>
      <c r="BQ9" s="112"/>
      <c r="BR9" s="112"/>
      <c r="BS9" s="112"/>
      <c r="BT9" s="112"/>
      <c r="BU9" s="112"/>
      <c r="BV9" s="112"/>
      <c r="BW9" s="112"/>
      <c r="BX9" s="112"/>
      <c r="BY9" s="112"/>
      <c r="BZ9" s="112"/>
      <c r="CA9" s="112"/>
      <c r="CB9" s="112"/>
      <c r="CC9" s="112"/>
      <c r="CD9" s="112"/>
      <c r="CE9" s="112"/>
      <c r="CF9" s="112"/>
    </row>
    <row r="10" spans="1:85" s="206" customFormat="1" ht="12.75" customHeight="1">
      <c r="A10" s="212">
        <v>8</v>
      </c>
      <c r="B10" s="208"/>
      <c r="C10" s="209" t="s">
        <v>225</v>
      </c>
      <c r="D10" s="209" t="s">
        <v>225</v>
      </c>
      <c r="E10" s="363">
        <f>MFC!A10</f>
        <v>0</v>
      </c>
      <c r="F10" s="363">
        <f>MFC!B10</f>
        <v>0</v>
      </c>
      <c r="G10" s="364">
        <f>MFC!C10</f>
        <v>110</v>
      </c>
      <c r="H10" s="393" t="str">
        <f>MFC!D10</f>
        <v>R</v>
      </c>
      <c r="I10" s="366" t="str">
        <f>MFC!E10</f>
        <v>078</v>
      </c>
      <c r="J10" s="367" t="s">
        <v>325</v>
      </c>
      <c r="K10" s="379" t="str">
        <f>MFC!F10</f>
        <v>GU light 078 APO LL4C</v>
      </c>
      <c r="L10" s="369" t="str">
        <f>MFC!G10</f>
        <v>TbP</v>
      </c>
      <c r="M10" s="370" t="str">
        <f>MFC!H10</f>
        <v>LL04C</v>
      </c>
      <c r="N10" s="369" t="str">
        <f>MFC!I10</f>
        <v>CJMT</v>
      </c>
      <c r="O10" s="387" t="str">
        <f>MFC!J10</f>
        <v>FPDR</v>
      </c>
      <c r="P10" s="387" t="str">
        <f>MFC!K10</f>
        <v>P16-Wait</v>
      </c>
      <c r="Q10" s="372" t="s">
        <v>233</v>
      </c>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658">
        <f>MFC!L10</f>
        <v>42677</v>
      </c>
      <c r="AS10" s="658" t="str">
        <f>MFC!P10</f>
        <v>NA</v>
      </c>
      <c r="AT10" s="373"/>
      <c r="AU10" s="373"/>
      <c r="AV10" s="373"/>
      <c r="AW10" s="373"/>
      <c r="AX10" s="373"/>
      <c r="AY10" s="373"/>
      <c r="AZ10" s="373"/>
      <c r="BA10" s="373"/>
      <c r="BB10" s="373"/>
      <c r="BC10" s="373">
        <v>42824</v>
      </c>
      <c r="BD10" s="373">
        <v>42830</v>
      </c>
      <c r="BE10" s="373">
        <v>42837</v>
      </c>
      <c r="BF10" s="373">
        <v>42837</v>
      </c>
      <c r="BG10" s="375" t="str">
        <f>MFC!Q10</f>
        <v>done</v>
      </c>
      <c r="BH10" s="390" t="s">
        <v>350</v>
      </c>
      <c r="BI10" s="397">
        <f>MFC!R10</f>
        <v>42830</v>
      </c>
      <c r="BJ10" s="397">
        <f>MFC!U10</f>
        <v>42851</v>
      </c>
      <c r="BK10" s="376">
        <f>MFC!W10</f>
        <v>42856</v>
      </c>
      <c r="BL10" s="376">
        <f>MFC!Y10</f>
        <v>42887</v>
      </c>
      <c r="BM10" s="111"/>
      <c r="BN10" s="111"/>
      <c r="BO10" s="111"/>
      <c r="BP10" s="111"/>
      <c r="BQ10" s="111"/>
      <c r="BR10" s="111"/>
      <c r="BS10" s="111"/>
      <c r="BT10" s="111"/>
      <c r="BU10" s="111"/>
      <c r="BV10" s="111"/>
      <c r="BW10" s="111"/>
      <c r="BX10" s="111">
        <v>42818</v>
      </c>
      <c r="BY10" s="111"/>
      <c r="BZ10" s="111"/>
      <c r="CA10" s="111"/>
      <c r="CB10" s="111"/>
      <c r="CC10" s="111"/>
      <c r="CD10" s="111"/>
      <c r="CE10" s="111"/>
      <c r="CF10" s="111"/>
    </row>
    <row r="11" spans="1:85" s="206" customFormat="1" ht="12.75" customHeight="1" outlineLevel="1">
      <c r="A11" s="212">
        <v>10</v>
      </c>
      <c r="B11" s="209"/>
      <c r="C11" s="209" t="s">
        <v>225</v>
      </c>
      <c r="D11" s="210"/>
      <c r="E11" s="363">
        <f>MFC!A11</f>
        <v>0</v>
      </c>
      <c r="F11" s="363">
        <f>MFC!B11</f>
        <v>0</v>
      </c>
      <c r="G11" s="364">
        <f>MFC!C11</f>
        <v>209</v>
      </c>
      <c r="H11" s="393" t="str">
        <f>MFC!D11</f>
        <v>R</v>
      </c>
      <c r="I11" s="398" t="str">
        <f>MFC!E11</f>
        <v>078</v>
      </c>
      <c r="J11" s="395" t="s">
        <v>238</v>
      </c>
      <c r="K11" s="379" t="str">
        <f>MFC!F11</f>
        <v>Appl. Jatco APO (GU light) AL HcP</v>
      </c>
      <c r="L11" s="369" t="str">
        <f>MFC!G11</f>
        <v>HcP</v>
      </c>
      <c r="M11" s="370" t="str">
        <f>MFC!H11</f>
        <v>AL09</v>
      </c>
      <c r="N11" s="369" t="str">
        <f>MFC!I11</f>
        <v>CJMT</v>
      </c>
      <c r="O11" s="387" t="str">
        <f>MFC!J11</f>
        <v>FPDR</v>
      </c>
      <c r="P11" s="396" t="str">
        <f>MFC!K11</f>
        <v>see 110</v>
      </c>
      <c r="Q11" s="372"/>
      <c r="R11" s="372"/>
      <c r="S11" s="372"/>
      <c r="T11" s="372" t="s">
        <v>233</v>
      </c>
      <c r="U11" s="372" t="s">
        <v>234</v>
      </c>
      <c r="V11" s="372"/>
      <c r="W11" s="372"/>
      <c r="X11" s="372"/>
      <c r="Y11" s="372"/>
      <c r="Z11" s="372"/>
      <c r="AA11" s="372"/>
      <c r="AB11" s="372"/>
      <c r="AC11" s="372"/>
      <c r="AD11" s="372"/>
      <c r="AE11" s="372"/>
      <c r="AF11" s="372"/>
      <c r="AG11" s="372"/>
      <c r="AH11" s="372"/>
      <c r="AI11" s="372"/>
      <c r="AJ11" s="372"/>
      <c r="AK11" s="372"/>
      <c r="AL11" s="372"/>
      <c r="AM11" s="372"/>
      <c r="AN11" s="372"/>
      <c r="AO11" s="372"/>
      <c r="AP11" s="372"/>
      <c r="AQ11" s="372"/>
      <c r="AR11" s="658">
        <f>MFC!L11</f>
        <v>0</v>
      </c>
      <c r="AS11" s="658">
        <f>MFC!P11</f>
        <v>0</v>
      </c>
      <c r="AT11" s="373"/>
      <c r="AU11" s="373"/>
      <c r="AV11" s="373"/>
      <c r="AW11" s="373"/>
      <c r="AX11" s="373"/>
      <c r="AY11" s="373"/>
      <c r="AZ11" s="373"/>
      <c r="BA11" s="373"/>
      <c r="BB11" s="373"/>
      <c r="BC11" s="373"/>
      <c r="BD11" s="373"/>
      <c r="BE11" s="373"/>
      <c r="BF11" s="373"/>
      <c r="BG11" s="375">
        <f>MFC!Q11</f>
        <v>0</v>
      </c>
      <c r="BH11" s="390" t="s">
        <v>349</v>
      </c>
      <c r="BI11" s="375">
        <f>MFC!R11</f>
        <v>0</v>
      </c>
      <c r="BJ11" s="375">
        <f>MFC!U11</f>
        <v>0</v>
      </c>
      <c r="BK11" s="1045">
        <f>MFC!W11</f>
        <v>42884</v>
      </c>
      <c r="BL11" s="376">
        <f>MFC!Y11</f>
        <v>42887</v>
      </c>
      <c r="BM11" s="112"/>
      <c r="BN11" s="112"/>
      <c r="BO11" s="112"/>
      <c r="BP11" s="112"/>
      <c r="BQ11" s="112"/>
      <c r="BR11" s="112"/>
      <c r="BS11" s="112"/>
      <c r="BT11" s="112"/>
      <c r="BU11" s="112"/>
      <c r="BV11" s="112"/>
      <c r="BW11" s="112"/>
      <c r="BX11" s="112"/>
      <c r="BY11" s="112"/>
      <c r="BZ11" s="112"/>
      <c r="CA11" s="112"/>
      <c r="CB11" s="112"/>
      <c r="CC11" s="112"/>
      <c r="CD11" s="112"/>
      <c r="CE11" s="112"/>
      <c r="CF11" s="112"/>
    </row>
    <row r="12" spans="1:85" s="206" customFormat="1" outlineLevel="1">
      <c r="A12" s="212">
        <v>11</v>
      </c>
      <c r="B12" s="209"/>
      <c r="C12" s="209" t="s">
        <v>225</v>
      </c>
      <c r="D12" s="209" t="s">
        <v>225</v>
      </c>
      <c r="E12" s="363">
        <f>MFC!A12</f>
        <v>0</v>
      </c>
      <c r="F12" s="363">
        <f>MFC!B12</f>
        <v>0</v>
      </c>
      <c r="G12" s="364">
        <f>MFC!C12</f>
        <v>222</v>
      </c>
      <c r="H12" s="377" t="str">
        <f>MFC!D12</f>
        <v>R</v>
      </c>
      <c r="I12" s="398" t="str">
        <f>MFC!E12</f>
        <v>078</v>
      </c>
      <c r="J12" s="395" t="s">
        <v>239</v>
      </c>
      <c r="K12" s="399" t="str">
        <f>MFC!F12</f>
        <v>APO 078 AL10 SlpP, incl CKD LS HcP to SlpP</v>
      </c>
      <c r="L12" s="369" t="str">
        <f>MFC!G12</f>
        <v>SlpP</v>
      </c>
      <c r="M12" s="370" t="str">
        <f>MFC!H12</f>
        <v>AL10</v>
      </c>
      <c r="N12" s="369" t="str">
        <f>MFC!I12</f>
        <v>M+S</v>
      </c>
      <c r="O12" s="400">
        <f>MFC!J12</f>
        <v>0</v>
      </c>
      <c r="P12" s="401" t="s">
        <v>240</v>
      </c>
      <c r="Q12" s="372"/>
      <c r="R12" s="380"/>
      <c r="S12" s="380"/>
      <c r="T12" s="380"/>
      <c r="U12" s="380"/>
      <c r="V12" s="380"/>
      <c r="W12" s="380"/>
      <c r="X12" s="380"/>
      <c r="Y12" s="380"/>
      <c r="Z12" s="380"/>
      <c r="AA12" s="380"/>
      <c r="AB12" s="380"/>
      <c r="AC12" s="380"/>
      <c r="AD12" s="380"/>
      <c r="AE12" s="380"/>
      <c r="AF12" s="380"/>
      <c r="AG12" s="380"/>
      <c r="AH12" s="380"/>
      <c r="AI12" s="380"/>
      <c r="AJ12" s="380"/>
      <c r="AK12" s="380"/>
      <c r="AL12" s="380"/>
      <c r="AM12" s="380"/>
      <c r="AN12" s="380"/>
      <c r="AO12" s="380"/>
      <c r="AP12" s="380"/>
      <c r="AQ12" s="380"/>
      <c r="AR12" s="975">
        <f>MFC!L12</f>
        <v>42895</v>
      </c>
      <c r="AS12" s="975">
        <f>MFC!P12</f>
        <v>42909</v>
      </c>
      <c r="AT12" s="374"/>
      <c r="AU12" s="374"/>
      <c r="AV12" s="374"/>
      <c r="AW12" s="374"/>
      <c r="AX12" s="374"/>
      <c r="AY12" s="374"/>
      <c r="AZ12" s="374"/>
      <c r="BA12" s="990">
        <v>42956</v>
      </c>
      <c r="BB12" s="990">
        <v>42976</v>
      </c>
      <c r="BC12" s="990">
        <v>42976</v>
      </c>
      <c r="BD12" s="990">
        <v>42983</v>
      </c>
      <c r="BE12" s="990">
        <v>43026</v>
      </c>
      <c r="BF12" s="990">
        <v>43026</v>
      </c>
      <c r="BG12" s="407">
        <f>MFC!Q12</f>
        <v>42963</v>
      </c>
      <c r="BH12" s="421">
        <v>43007</v>
      </c>
      <c r="BI12" s="407" t="str">
        <f>MFC!R12</f>
        <v>13-10</v>
      </c>
      <c r="BJ12" s="407">
        <f>MFC!U12</f>
        <v>43117</v>
      </c>
      <c r="BK12" s="1078">
        <f>MFC!W12</f>
        <v>42807</v>
      </c>
      <c r="BL12" s="402">
        <f>MFC!Y12</f>
        <v>43174</v>
      </c>
      <c r="BM12" s="112"/>
      <c r="BN12" s="112"/>
      <c r="BO12" s="112"/>
      <c r="BP12" s="112"/>
      <c r="BQ12" s="112"/>
      <c r="BR12" s="112"/>
      <c r="BS12" s="112"/>
      <c r="BT12" s="112"/>
      <c r="BU12" s="112"/>
      <c r="BV12" s="112"/>
      <c r="BW12" s="112"/>
      <c r="BX12" s="112"/>
      <c r="BY12" s="112"/>
      <c r="BZ12" s="112"/>
      <c r="CA12" s="112"/>
      <c r="CB12" s="112"/>
      <c r="CC12" s="112"/>
      <c r="CD12" s="112"/>
      <c r="CE12" s="112"/>
      <c r="CF12" s="112"/>
      <c r="CG12" s="715"/>
    </row>
    <row r="13" spans="1:85" s="203" customFormat="1" ht="13.5" thickBot="1">
      <c r="A13" s="211">
        <v>12</v>
      </c>
      <c r="B13" s="201"/>
      <c r="C13" s="201" t="s">
        <v>225</v>
      </c>
      <c r="D13" s="201" t="s">
        <v>225</v>
      </c>
      <c r="E13" s="466">
        <f>MFC!A13</f>
        <v>42951</v>
      </c>
      <c r="F13" s="466">
        <f>MFC!B13</f>
        <v>0</v>
      </c>
      <c r="G13" s="467">
        <f>MFC!C13</f>
        <v>275</v>
      </c>
      <c r="H13" s="495" t="str">
        <f>MFC!D13</f>
        <v>R</v>
      </c>
      <c r="I13" s="469" t="str">
        <f>MFC!E13</f>
        <v>078</v>
      </c>
      <c r="J13" s="510" t="s">
        <v>370</v>
      </c>
      <c r="K13" s="511" t="str">
        <f>MFC!F13</f>
        <v>Appl. Jatco APO (GU light) LL07  (LEM 1+2+3)</v>
      </c>
      <c r="L13" s="472" t="str">
        <f>MFC!G13</f>
        <v>HcP</v>
      </c>
      <c r="M13" s="473" t="str">
        <f>MFC!H13</f>
        <v>LL07</v>
      </c>
      <c r="N13" s="472" t="str">
        <f>MFC!I13</f>
        <v>CJMT</v>
      </c>
      <c r="O13" s="498" t="str">
        <f>MFC!J13</f>
        <v>FPDR</v>
      </c>
      <c r="P13" s="498" t="str">
        <f>MFC!K13</f>
        <v>P17-wait</v>
      </c>
      <c r="Q13" s="475"/>
      <c r="R13" s="499"/>
      <c r="S13" s="499"/>
      <c r="T13" s="499"/>
      <c r="U13" s="512" t="s">
        <v>241</v>
      </c>
      <c r="V13" s="499"/>
      <c r="W13" s="512" t="s">
        <v>292</v>
      </c>
      <c r="X13" s="501" t="s">
        <v>293</v>
      </c>
      <c r="Y13" s="499" t="s">
        <v>247</v>
      </c>
      <c r="Z13" s="499"/>
      <c r="AA13" s="499"/>
      <c r="AB13" s="499"/>
      <c r="AC13" s="499"/>
      <c r="AD13" s="499"/>
      <c r="AE13" s="499"/>
      <c r="AF13" s="499"/>
      <c r="AG13" s="499"/>
      <c r="AH13" s="502" t="s">
        <v>244</v>
      </c>
      <c r="AI13" s="499"/>
      <c r="AJ13" s="499"/>
      <c r="AK13" s="499"/>
      <c r="AL13" s="499"/>
      <c r="AM13" s="499"/>
      <c r="AN13" s="499"/>
      <c r="AO13" s="499"/>
      <c r="AP13" s="499"/>
      <c r="AQ13" s="499"/>
      <c r="AR13" s="675">
        <f>MFC!L13</f>
        <v>42748</v>
      </c>
      <c r="AS13" s="976">
        <f>MFC!P13</f>
        <v>42951</v>
      </c>
      <c r="AT13" s="974">
        <v>42766</v>
      </c>
      <c r="AU13" s="974">
        <v>42907</v>
      </c>
      <c r="AV13" s="476"/>
      <c r="AW13" s="476"/>
      <c r="AX13" s="476"/>
      <c r="AY13" s="476"/>
      <c r="AZ13" s="477" t="s">
        <v>245</v>
      </c>
      <c r="BA13" s="974">
        <v>42907</v>
      </c>
      <c r="BB13" s="974">
        <v>42902</v>
      </c>
      <c r="BC13" s="989">
        <v>42902</v>
      </c>
      <c r="BD13" s="989">
        <v>42944</v>
      </c>
      <c r="BE13" s="974">
        <v>42979</v>
      </c>
      <c r="BF13" s="974">
        <v>42979</v>
      </c>
      <c r="BG13" s="998">
        <f>MFC!Q13</f>
        <v>42906</v>
      </c>
      <c r="BH13" s="998">
        <v>42969</v>
      </c>
      <c r="BI13" s="998">
        <f>MFC!R13</f>
        <v>42968</v>
      </c>
      <c r="BJ13" s="998">
        <f>MFC!U13</f>
        <v>43004</v>
      </c>
      <c r="BK13" s="999">
        <f>MFC!W13</f>
        <v>43010</v>
      </c>
      <c r="BL13" s="1012">
        <f>MFC!Y13</f>
        <v>43082</v>
      </c>
      <c r="BM13" s="111"/>
      <c r="BN13" s="111"/>
      <c r="BO13" s="111"/>
      <c r="BP13" s="111"/>
      <c r="BQ13" s="111"/>
      <c r="BR13" s="111"/>
      <c r="BS13" s="111"/>
      <c r="BT13" s="111"/>
      <c r="BU13" s="111"/>
      <c r="BV13" s="111"/>
      <c r="BW13" s="111"/>
      <c r="BX13" s="111"/>
      <c r="BY13" s="111"/>
      <c r="BZ13" s="111"/>
      <c r="CA13" s="111"/>
      <c r="CB13" s="111"/>
      <c r="CC13" s="111"/>
      <c r="CD13" s="111"/>
      <c r="CE13" s="111"/>
      <c r="CF13" s="111"/>
      <c r="CG13" s="723"/>
    </row>
    <row r="14" spans="1:85" s="203" customFormat="1" ht="13.5" thickBot="1">
      <c r="A14" s="211">
        <v>13</v>
      </c>
      <c r="B14" s="214"/>
      <c r="C14" s="214"/>
      <c r="D14" s="216" t="s">
        <v>225</v>
      </c>
      <c r="E14" s="183">
        <f>MFC!A14</f>
        <v>0</v>
      </c>
      <c r="F14" s="183">
        <f>MFC!B14</f>
        <v>43020</v>
      </c>
      <c r="G14" s="346">
        <f>MFC!C14</f>
        <v>146</v>
      </c>
      <c r="H14" s="521" t="str">
        <f>MFC!D14</f>
        <v>R</v>
      </c>
      <c r="I14" s="11" t="str">
        <f>MFC!E14</f>
        <v>081</v>
      </c>
      <c r="J14" s="522" t="s">
        <v>360</v>
      </c>
      <c r="K14" s="523" t="str">
        <f>MFC!F14</f>
        <v>Release 081 AL14 (New concept)  [+Suzuki]</v>
      </c>
      <c r="L14" s="157" t="str">
        <f>MFC!G14</f>
        <v>HcP</v>
      </c>
      <c r="M14" s="158" t="str">
        <f>MFC!H14</f>
        <v>AL14</v>
      </c>
      <c r="N14" s="157" t="str">
        <f>MFC!I14</f>
        <v>J</v>
      </c>
      <c r="O14" s="40" t="str">
        <f>MFC!J14</f>
        <v>QRCA</v>
      </c>
      <c r="P14" s="524" t="str">
        <f>MFC!K14</f>
        <v>P15-406</v>
      </c>
      <c r="Q14" s="219"/>
      <c r="R14" s="221"/>
      <c r="S14" s="218"/>
      <c r="T14" s="221"/>
      <c r="U14" s="218" t="s">
        <v>246</v>
      </c>
      <c r="V14" s="218"/>
      <c r="W14" s="218"/>
      <c r="X14" s="218" t="s">
        <v>242</v>
      </c>
      <c r="Y14" s="218" t="s">
        <v>247</v>
      </c>
      <c r="Z14" s="218" t="s">
        <v>231</v>
      </c>
      <c r="AA14" s="218"/>
      <c r="AB14" s="218"/>
      <c r="AC14" s="221"/>
      <c r="AD14" s="218"/>
      <c r="AE14" s="218"/>
      <c r="AF14" s="269" t="s">
        <v>244</v>
      </c>
      <c r="AG14" s="218"/>
      <c r="AH14" s="269" t="s">
        <v>248</v>
      </c>
      <c r="AI14" s="218"/>
      <c r="AJ14" s="269" t="s">
        <v>234</v>
      </c>
      <c r="AK14" s="218"/>
      <c r="AL14" s="218"/>
      <c r="AM14" s="218"/>
      <c r="AN14" s="218"/>
      <c r="AO14" s="218"/>
      <c r="AP14" s="218"/>
      <c r="AQ14" s="218"/>
      <c r="AR14" s="977">
        <f>MFC!L14</f>
        <v>42803</v>
      </c>
      <c r="AS14" s="978">
        <f>MFC!P14</f>
        <v>42853</v>
      </c>
      <c r="AT14" s="223"/>
      <c r="AU14" s="223"/>
      <c r="AV14" s="223"/>
      <c r="AW14" s="223"/>
      <c r="AX14" s="223"/>
      <c r="AY14" s="223"/>
      <c r="AZ14" s="223"/>
      <c r="BA14" s="223"/>
      <c r="BB14" s="995">
        <v>42914</v>
      </c>
      <c r="BC14" s="989">
        <v>42914</v>
      </c>
      <c r="BD14" s="989">
        <v>42934</v>
      </c>
      <c r="BE14" s="995">
        <v>42986</v>
      </c>
      <c r="BF14" s="995">
        <v>42986</v>
      </c>
      <c r="BG14" s="996">
        <f>MFC!Q14</f>
        <v>42955</v>
      </c>
      <c r="BH14" s="996">
        <v>42983</v>
      </c>
      <c r="BI14" s="996">
        <f>MFC!R14</f>
        <v>42977</v>
      </c>
      <c r="BJ14" s="996">
        <f>MFC!U14</f>
        <v>43020</v>
      </c>
      <c r="BK14" s="997">
        <f>MFC!W14</f>
        <v>43014</v>
      </c>
      <c r="BL14" s="1011">
        <f>MFC!Y14</f>
        <v>43045</v>
      </c>
      <c r="BM14" s="111"/>
      <c r="BN14" s="111"/>
      <c r="BO14" s="111"/>
      <c r="BP14" s="111"/>
      <c r="BQ14" s="111"/>
      <c r="BR14" s="111"/>
      <c r="BS14" s="111"/>
      <c r="BT14" s="111"/>
      <c r="BU14" s="111"/>
      <c r="BV14" s="111"/>
      <c r="BW14" s="111"/>
      <c r="BX14" s="111"/>
      <c r="BY14" s="111"/>
      <c r="BZ14" s="111"/>
      <c r="CA14" s="111"/>
      <c r="CB14" s="111"/>
      <c r="CC14" s="111"/>
      <c r="CD14" s="111"/>
      <c r="CE14" s="111"/>
      <c r="CF14" s="111"/>
    </row>
    <row r="15" spans="1:85" s="221" customFormat="1" ht="12.75" customHeight="1" thickBot="1">
      <c r="A15" s="215">
        <v>14</v>
      </c>
      <c r="B15" s="216"/>
      <c r="C15" s="216"/>
      <c r="D15" s="216" t="s">
        <v>225</v>
      </c>
      <c r="E15" s="183">
        <f>MFC!A15</f>
        <v>0</v>
      </c>
      <c r="F15" s="183">
        <f>MFC!B15</f>
        <v>0</v>
      </c>
      <c r="G15" s="44">
        <f>MFC!C15</f>
        <v>122</v>
      </c>
      <c r="H15" s="156">
        <f>MFC!D15</f>
        <v>0</v>
      </c>
      <c r="I15" s="11" t="str">
        <f>MFC!E15</f>
        <v>083</v>
      </c>
      <c r="J15" s="357" t="s">
        <v>249</v>
      </c>
      <c r="K15" s="217" t="str">
        <f>MFC!F15</f>
        <v>Nippon Phase 3 Jatco 30/10</v>
      </c>
      <c r="L15" s="157" t="str">
        <f>MFC!G15</f>
        <v>HcP</v>
      </c>
      <c r="M15" s="158" t="str">
        <f>MFC!H15</f>
        <v>EL</v>
      </c>
      <c r="N15" s="157" t="str">
        <f>MFC!I15</f>
        <v>CJM</v>
      </c>
      <c r="O15" s="40" t="str">
        <f>MFC!J15</f>
        <v>QRCA?</v>
      </c>
      <c r="P15" s="40" t="str">
        <f>MFC!K15</f>
        <v>P16-437</v>
      </c>
      <c r="Q15" s="219"/>
      <c r="R15" s="220" t="s">
        <v>179</v>
      </c>
      <c r="S15" s="218"/>
      <c r="T15" s="218"/>
      <c r="U15" s="218"/>
      <c r="V15" s="218"/>
      <c r="W15" s="218"/>
      <c r="X15" s="218"/>
      <c r="Y15" s="218"/>
      <c r="AA15" s="218"/>
      <c r="AB15" s="218"/>
      <c r="AC15" s="218"/>
      <c r="AD15" s="218"/>
      <c r="AE15" s="218"/>
      <c r="AF15" s="218"/>
      <c r="AG15" s="218"/>
      <c r="AH15" s="218"/>
      <c r="AI15" s="218"/>
      <c r="AJ15" s="218"/>
      <c r="AK15" s="218"/>
      <c r="AL15" s="218"/>
      <c r="AM15" s="218"/>
      <c r="AN15" s="218"/>
      <c r="AO15" s="218"/>
      <c r="AP15" s="218"/>
      <c r="AQ15" s="218" t="s">
        <v>243</v>
      </c>
      <c r="AR15" s="977">
        <f>MFC!L15</f>
        <v>42677</v>
      </c>
      <c r="AS15" s="977">
        <f>MFC!P15</f>
        <v>42689</v>
      </c>
      <c r="AT15" s="979"/>
      <c r="AU15" s="222"/>
      <c r="AV15" s="222"/>
      <c r="AW15" s="222"/>
      <c r="AX15" s="222"/>
      <c r="AY15" s="222"/>
      <c r="AZ15" s="222"/>
      <c r="BA15" s="222"/>
      <c r="BB15" s="995">
        <v>42867</v>
      </c>
      <c r="BC15" s="995">
        <v>42867</v>
      </c>
      <c r="BD15" s="995">
        <v>42867</v>
      </c>
      <c r="BE15" s="1047">
        <v>43237</v>
      </c>
      <c r="BF15" s="1047">
        <v>43237</v>
      </c>
      <c r="BG15" s="996">
        <f>MFC!Q15</f>
        <v>43041</v>
      </c>
      <c r="BH15" s="159">
        <v>43205</v>
      </c>
      <c r="BI15" s="160">
        <f>MFC!R15</f>
        <v>43220</v>
      </c>
      <c r="BJ15" s="160">
        <f>MFC!U15</f>
        <v>43251</v>
      </c>
      <c r="BK15" s="161">
        <f>MFC!W15</f>
        <v>43269</v>
      </c>
      <c r="BL15" s="161">
        <f>MFC!Y15</f>
        <v>43280</v>
      </c>
      <c r="BM15" s="111"/>
      <c r="BN15" s="111"/>
      <c r="BO15" s="111"/>
      <c r="BP15" s="111"/>
      <c r="BQ15" s="111"/>
      <c r="BR15" s="111"/>
      <c r="BS15" s="111"/>
      <c r="BT15" s="111"/>
      <c r="BU15" s="111"/>
      <c r="BV15" s="111"/>
      <c r="BW15" s="111"/>
      <c r="BX15" s="111"/>
      <c r="BY15" s="111"/>
      <c r="BZ15" s="111"/>
      <c r="CA15" s="111"/>
      <c r="CB15" s="111"/>
      <c r="CC15" s="111"/>
      <c r="CD15" s="111"/>
      <c r="CE15" s="111"/>
      <c r="CF15" s="111"/>
    </row>
    <row r="16" spans="1:85" s="206" customFormat="1" ht="12.75" customHeight="1" outlineLevel="1">
      <c r="A16" s="212">
        <v>15</v>
      </c>
      <c r="B16" s="205"/>
      <c r="C16" s="205"/>
      <c r="D16" s="503"/>
      <c r="E16" s="481">
        <f>MFC!A16</f>
        <v>0</v>
      </c>
      <c r="F16" s="481">
        <f>MFC!B16</f>
        <v>0</v>
      </c>
      <c r="G16" s="525">
        <f>MFC!C16</f>
        <v>94</v>
      </c>
      <c r="H16" s="483" t="str">
        <f>MFC!D16</f>
        <v>R</v>
      </c>
      <c r="I16" s="484" t="str">
        <f>MFC!E16</f>
        <v>089</v>
      </c>
      <c r="J16" s="514" t="s">
        <v>250</v>
      </c>
      <c r="K16" s="507" t="str">
        <f>MFC!F16</f>
        <v>GU LL10_089 LS Product release</v>
      </c>
      <c r="L16" s="487" t="str">
        <f>MFC!G16</f>
        <v>HcP</v>
      </c>
      <c r="M16" s="488" t="str">
        <f>MFC!H16</f>
        <v>LL10</v>
      </c>
      <c r="N16" s="487" t="str">
        <f>MFC!I16</f>
        <v>CJM</v>
      </c>
      <c r="O16" s="489" t="str">
        <f>MFC!J16</f>
        <v>QRCA</v>
      </c>
      <c r="P16" s="489" t="str">
        <f>MFC!K16</f>
        <v>P15-591</v>
      </c>
      <c r="Q16" s="490"/>
      <c r="R16" s="490"/>
      <c r="S16" s="490"/>
      <c r="T16" s="490"/>
      <c r="U16" s="490"/>
      <c r="V16" s="490"/>
      <c r="W16" s="490"/>
      <c r="X16" s="490"/>
      <c r="Y16" s="490"/>
      <c r="Z16" s="490"/>
      <c r="AA16" s="490"/>
      <c r="AB16" s="490"/>
      <c r="AC16" s="490"/>
      <c r="AD16" s="490"/>
      <c r="AE16" s="490"/>
      <c r="AF16" s="490"/>
      <c r="AG16" s="490"/>
      <c r="AH16" s="490"/>
      <c r="AI16" s="490"/>
      <c r="AJ16" s="490"/>
      <c r="AK16" s="490"/>
      <c r="AL16" s="490"/>
      <c r="AM16" s="490"/>
      <c r="AN16" s="490"/>
      <c r="AO16" s="490"/>
      <c r="AP16" s="490"/>
      <c r="AQ16" s="490"/>
      <c r="AR16" s="660">
        <f>MFC!L16</f>
        <v>42355</v>
      </c>
      <c r="AS16" s="660">
        <f>MFC!P16</f>
        <v>42394</v>
      </c>
      <c r="AT16" s="491"/>
      <c r="AU16" s="491"/>
      <c r="AV16" s="491"/>
      <c r="AW16" s="491"/>
      <c r="AX16" s="491"/>
      <c r="AY16" s="491"/>
      <c r="AZ16" s="491"/>
      <c r="BA16" s="491"/>
      <c r="BB16" s="491"/>
      <c r="BC16" s="491"/>
      <c r="BD16" s="491"/>
      <c r="BE16" s="491"/>
      <c r="BF16" s="491"/>
      <c r="BG16" s="526" t="str">
        <f>MFC!Q16</f>
        <v>done</v>
      </c>
      <c r="BH16" s="730" t="s">
        <v>349</v>
      </c>
      <c r="BI16" s="526">
        <f>MFC!R16</f>
        <v>42591</v>
      </c>
      <c r="BJ16" s="526">
        <f>MFC!U16</f>
        <v>42647</v>
      </c>
      <c r="BK16" s="527">
        <f>MFC!W16</f>
        <v>42648</v>
      </c>
      <c r="BL16" s="527">
        <f>MFC!Y16</f>
        <v>42705</v>
      </c>
      <c r="BM16" s="102"/>
      <c r="BN16" s="102"/>
      <c r="BO16" s="102"/>
      <c r="BP16" s="102"/>
      <c r="BQ16" s="102"/>
      <c r="BR16" s="102"/>
      <c r="BS16" s="102"/>
      <c r="BT16" s="102"/>
      <c r="BU16" s="102"/>
      <c r="BV16" s="102"/>
      <c r="BW16" s="102"/>
      <c r="BX16" s="102"/>
      <c r="BY16" s="102"/>
      <c r="BZ16" s="102"/>
      <c r="CA16" s="102"/>
      <c r="CB16" s="102"/>
      <c r="CC16" s="102"/>
      <c r="CD16" s="102"/>
      <c r="CE16" s="102"/>
      <c r="CF16" s="102"/>
    </row>
    <row r="17" spans="1:85" s="206" customFormat="1" ht="12.75" customHeight="1" outlineLevel="1">
      <c r="A17" s="212">
        <v>16</v>
      </c>
      <c r="B17" s="209"/>
      <c r="C17" s="209"/>
      <c r="D17" s="210"/>
      <c r="E17" s="363">
        <f>MFC!A17</f>
        <v>0</v>
      </c>
      <c r="F17" s="363">
        <f>MFC!B17</f>
        <v>0</v>
      </c>
      <c r="G17" s="364">
        <f>MFC!C17</f>
        <v>97</v>
      </c>
      <c r="H17" s="377" t="str">
        <f>MFC!D17</f>
        <v>R</v>
      </c>
      <c r="I17" s="409" t="str">
        <f>MFC!E17</f>
        <v>089</v>
      </c>
      <c r="J17" s="385" t="s">
        <v>251</v>
      </c>
      <c r="K17" s="379" t="str">
        <f>MFC!F17</f>
        <v>LL11: Release for 089</v>
      </c>
      <c r="L17" s="369" t="str">
        <f>MFC!G17</f>
        <v>HcP</v>
      </c>
      <c r="M17" s="370" t="str">
        <f>MFC!H17</f>
        <v>LL11</v>
      </c>
      <c r="N17" s="369" t="str">
        <f>MFC!I17</f>
        <v>CJM</v>
      </c>
      <c r="O17" s="371" t="str">
        <f>MFC!J17</f>
        <v>QRCA</v>
      </c>
      <c r="P17" s="371" t="str">
        <f>MFC!K17</f>
        <v>P15-799</v>
      </c>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658">
        <f>MFC!L17</f>
        <v>42401</v>
      </c>
      <c r="AS17" s="658">
        <f>MFC!P17</f>
        <v>42447</v>
      </c>
      <c r="AT17" s="373"/>
      <c r="AU17" s="373"/>
      <c r="AV17" s="373"/>
      <c r="AW17" s="373"/>
      <c r="AX17" s="373"/>
      <c r="AY17" s="373"/>
      <c r="AZ17" s="373"/>
      <c r="BA17" s="373"/>
      <c r="BB17" s="373"/>
      <c r="BC17" s="373"/>
      <c r="BD17" s="373"/>
      <c r="BE17" s="373"/>
      <c r="BF17" s="373"/>
      <c r="BG17" s="407">
        <f>MFC!Q17</f>
        <v>42658</v>
      </c>
      <c r="BH17" s="390" t="s">
        <v>349</v>
      </c>
      <c r="BI17" s="407">
        <f>MFC!R17</f>
        <v>42683</v>
      </c>
      <c r="BJ17" s="410">
        <f>MFC!U17</f>
        <v>42752</v>
      </c>
      <c r="BK17" s="408">
        <f>MFC!W17</f>
        <v>42736</v>
      </c>
      <c r="BL17" s="408">
        <f>MFC!Y17</f>
        <v>42773</v>
      </c>
      <c r="BM17" s="102"/>
      <c r="BN17" s="102"/>
      <c r="BO17" s="102"/>
      <c r="BP17" s="102"/>
      <c r="BQ17" s="102"/>
      <c r="BR17" s="102"/>
      <c r="BS17" s="102"/>
      <c r="BT17" s="102"/>
      <c r="BU17" s="102"/>
      <c r="BV17" s="102"/>
      <c r="BW17" s="102"/>
      <c r="BX17" s="102"/>
      <c r="BY17" s="102"/>
      <c r="BZ17" s="102"/>
      <c r="CA17" s="102"/>
      <c r="CB17" s="102"/>
      <c r="CC17" s="102"/>
      <c r="CD17" s="102"/>
      <c r="CE17" s="102"/>
      <c r="CF17" s="102"/>
    </row>
    <row r="18" spans="1:85" s="206" customFormat="1" ht="12.75" customHeight="1">
      <c r="A18" s="212">
        <v>17</v>
      </c>
      <c r="B18" s="208"/>
      <c r="C18" s="209" t="s">
        <v>225</v>
      </c>
      <c r="D18" s="209" t="s">
        <v>225</v>
      </c>
      <c r="E18" s="363">
        <f>MFC!A18</f>
        <v>0</v>
      </c>
      <c r="F18" s="363">
        <f>MFC!B18</f>
        <v>0</v>
      </c>
      <c r="G18" s="364">
        <f>MFC!C18</f>
        <v>109</v>
      </c>
      <c r="H18" s="377" t="str">
        <f>MFC!D18</f>
        <v>R</v>
      </c>
      <c r="I18" s="366" t="str">
        <f>MFC!E18</f>
        <v>089</v>
      </c>
      <c r="J18" s="367" t="s">
        <v>326</v>
      </c>
      <c r="K18" s="368" t="str">
        <f>MFC!F18</f>
        <v>Element CKD HcP to SlpP 089</v>
      </c>
      <c r="L18" s="369" t="str">
        <f>MFC!G18</f>
        <v>HcP</v>
      </c>
      <c r="M18" s="370" t="str">
        <f>MFC!H18</f>
        <v>EC</v>
      </c>
      <c r="N18" s="369" t="str">
        <f>MFC!I18</f>
        <v>M+S</v>
      </c>
      <c r="O18" s="387" t="str">
        <f>MFC!J18</f>
        <v>QRCA</v>
      </c>
      <c r="P18" s="387" t="str">
        <f>MFC!K18</f>
        <v>P-11086</v>
      </c>
      <c r="Q18" s="380"/>
      <c r="R18" s="380"/>
      <c r="S18" s="380"/>
      <c r="T18" s="411"/>
      <c r="U18" s="411"/>
      <c r="V18" s="380" t="s">
        <v>231</v>
      </c>
      <c r="W18" s="380" t="s">
        <v>252</v>
      </c>
      <c r="X18" s="380"/>
      <c r="Y18" s="380" t="s">
        <v>248</v>
      </c>
      <c r="Z18" s="380"/>
      <c r="AA18" s="380"/>
      <c r="AB18" s="380"/>
      <c r="AC18" s="380"/>
      <c r="AD18" s="380"/>
      <c r="AE18" s="380"/>
      <c r="AF18" s="380"/>
      <c r="AG18" s="380"/>
      <c r="AH18" s="380"/>
      <c r="AI18" s="380"/>
      <c r="AJ18" s="380"/>
      <c r="AK18" s="380"/>
      <c r="AL18" s="380"/>
      <c r="AM18" s="380"/>
      <c r="AN18" s="380"/>
      <c r="AO18" s="380"/>
      <c r="AP18" s="380"/>
      <c r="AQ18" s="380"/>
      <c r="AR18" s="657">
        <f>MFC!L18</f>
        <v>42600</v>
      </c>
      <c r="AS18" s="657">
        <f>MFC!P18</f>
        <v>42634</v>
      </c>
      <c r="AT18" s="374"/>
      <c r="AU18" s="374"/>
      <c r="AV18" s="374"/>
      <c r="AW18" s="374"/>
      <c r="AX18" s="374"/>
      <c r="AY18" s="374"/>
      <c r="AZ18" s="374"/>
      <c r="BA18" s="383">
        <v>42810</v>
      </c>
      <c r="BB18" s="383">
        <v>42822</v>
      </c>
      <c r="BC18" s="383">
        <v>42822</v>
      </c>
      <c r="BD18" s="383">
        <v>42830</v>
      </c>
      <c r="BE18" s="383">
        <v>42906</v>
      </c>
      <c r="BF18" s="383">
        <v>42906</v>
      </c>
      <c r="BG18" s="412">
        <f>MFC!Q18</f>
        <v>42719</v>
      </c>
      <c r="BH18" s="731" t="s">
        <v>352</v>
      </c>
      <c r="BI18" s="412">
        <f>MFC!R18</f>
        <v>42762</v>
      </c>
      <c r="BJ18" s="407">
        <f>MFC!U18</f>
        <v>42923</v>
      </c>
      <c r="BK18" s="1075">
        <f>MFC!W18</f>
        <v>42931</v>
      </c>
      <c r="BL18" s="1075">
        <f>MFC!Y18</f>
        <v>42948</v>
      </c>
      <c r="BM18" s="111"/>
      <c r="BN18" s="111"/>
      <c r="BO18" s="111"/>
      <c r="BP18" s="111"/>
      <c r="BQ18" s="111"/>
      <c r="BR18" s="111"/>
      <c r="BS18" s="111"/>
      <c r="BT18" s="111"/>
      <c r="BU18" s="111"/>
      <c r="BV18" s="111"/>
      <c r="BW18" s="111"/>
      <c r="BX18" s="111">
        <v>42822</v>
      </c>
      <c r="BY18" s="111">
        <v>42830</v>
      </c>
      <c r="BZ18" s="111" t="s">
        <v>253</v>
      </c>
      <c r="CA18" s="111"/>
      <c r="CB18" s="111"/>
      <c r="CC18" s="111"/>
      <c r="CD18" s="111"/>
      <c r="CE18" s="111"/>
      <c r="CF18" s="111"/>
    </row>
    <row r="19" spans="1:85" s="206" customFormat="1" ht="12.75" customHeight="1">
      <c r="A19" s="212">
        <v>18</v>
      </c>
      <c r="B19" s="208"/>
      <c r="C19" s="209" t="s">
        <v>225</v>
      </c>
      <c r="D19" s="209" t="s">
        <v>225</v>
      </c>
      <c r="E19" s="363">
        <f>MFC!A19</f>
        <v>0</v>
      </c>
      <c r="F19" s="363">
        <f>MFC!B19</f>
        <v>0</v>
      </c>
      <c r="G19" s="364">
        <f>MFC!C19</f>
        <v>293</v>
      </c>
      <c r="H19" s="377" t="str">
        <f>MFC!D19</f>
        <v>R</v>
      </c>
      <c r="I19" s="366" t="str">
        <f>MFC!E19</f>
        <v>089</v>
      </c>
      <c r="J19" s="385" t="s">
        <v>254</v>
      </c>
      <c r="K19" s="379" t="str">
        <f>MFC!F19</f>
        <v>PL: New Pipe washing 1 PL5</v>
      </c>
      <c r="L19" s="369" t="str">
        <f>MFC!G19</f>
        <v>HcP</v>
      </c>
      <c r="M19" s="370" t="str">
        <f>MFC!H19</f>
        <v>LL</v>
      </c>
      <c r="N19" s="369" t="str">
        <f>MFC!I19</f>
        <v>CJM</v>
      </c>
      <c r="O19" s="387" t="str">
        <f>MFC!J19</f>
        <v>DR#0/1</v>
      </c>
      <c r="P19" s="387" t="str">
        <f>MFC!K19</f>
        <v>P16-488</v>
      </c>
      <c r="Q19" s="372"/>
      <c r="R19" s="380"/>
      <c r="S19" s="380"/>
      <c r="T19" s="380"/>
      <c r="U19" s="380"/>
      <c r="V19" s="380"/>
      <c r="W19" s="380"/>
      <c r="X19" s="380"/>
      <c r="Y19" s="391"/>
      <c r="Z19" s="380"/>
      <c r="AA19" s="380"/>
      <c r="AB19" s="380"/>
      <c r="AC19" s="392" t="s">
        <v>248</v>
      </c>
      <c r="AD19" s="380"/>
      <c r="AE19" s="380"/>
      <c r="AF19" s="380"/>
      <c r="AG19" s="380"/>
      <c r="AH19" s="380"/>
      <c r="AI19" s="380"/>
      <c r="AJ19" s="380"/>
      <c r="AK19" s="380"/>
      <c r="AL19" s="380"/>
      <c r="AM19" s="380"/>
      <c r="AN19" s="380"/>
      <c r="AO19" s="380"/>
      <c r="AP19" s="380"/>
      <c r="AQ19" s="380"/>
      <c r="AR19" s="678">
        <f>MFC!L19</f>
        <v>42632</v>
      </c>
      <c r="AS19" s="678">
        <f>MFC!P19</f>
        <v>42711</v>
      </c>
      <c r="AT19" s="973"/>
      <c r="AU19" s="373"/>
      <c r="AV19" s="373"/>
      <c r="AW19" s="373"/>
      <c r="AX19" s="373"/>
      <c r="AY19" s="373"/>
      <c r="AZ19" s="373"/>
      <c r="BA19" s="989">
        <v>42731</v>
      </c>
      <c r="BB19" s="989">
        <v>42789</v>
      </c>
      <c r="BC19" s="989">
        <v>42789</v>
      </c>
      <c r="BD19" s="989">
        <v>42829</v>
      </c>
      <c r="BE19" s="989">
        <v>42846</v>
      </c>
      <c r="BF19" s="989">
        <v>42846</v>
      </c>
      <c r="BG19" s="407" t="str">
        <f>MFC!Q19</f>
        <v>B Feb</v>
      </c>
      <c r="BH19" s="728" t="s">
        <v>349</v>
      </c>
      <c r="BI19" s="407">
        <f>MFC!R19</f>
        <v>42790</v>
      </c>
      <c r="BJ19" s="413">
        <f>MFC!U19</f>
        <v>42852</v>
      </c>
      <c r="BK19" s="1075">
        <f>MFC!W19</f>
        <v>42975</v>
      </c>
      <c r="BL19" s="1075">
        <f>MFC!Y19</f>
        <v>42978</v>
      </c>
      <c r="BM19" s="111"/>
      <c r="BN19" s="111"/>
      <c r="BO19" s="111"/>
      <c r="BP19" s="111"/>
      <c r="BQ19" s="111"/>
      <c r="BR19" s="111"/>
      <c r="BS19" s="111"/>
      <c r="BT19" s="111"/>
      <c r="BU19" s="111"/>
      <c r="BV19" s="111"/>
      <c r="BW19" s="111"/>
      <c r="BX19" s="111"/>
      <c r="BY19" s="111">
        <v>42829</v>
      </c>
      <c r="BZ19" s="111"/>
      <c r="CA19" s="111"/>
      <c r="CB19" s="111"/>
      <c r="CC19" s="111"/>
      <c r="CD19" s="111"/>
      <c r="CE19" s="111"/>
      <c r="CF19" s="111"/>
    </row>
    <row r="20" spans="1:85" s="206" customFormat="1" ht="12.75" customHeight="1">
      <c r="A20" s="212">
        <v>19</v>
      </c>
      <c r="B20" s="208"/>
      <c r="C20" s="209" t="s">
        <v>225</v>
      </c>
      <c r="D20" s="209" t="s">
        <v>225</v>
      </c>
      <c r="E20" s="363">
        <f>MFC!A20</f>
        <v>0</v>
      </c>
      <c r="F20" s="363">
        <f>MFC!B20</f>
        <v>0</v>
      </c>
      <c r="G20" s="364">
        <f>MFC!C20</f>
        <v>212</v>
      </c>
      <c r="H20" s="377" t="str">
        <f>MFC!D20</f>
        <v>R</v>
      </c>
      <c r="I20" s="366" t="str">
        <f>MFC!E20</f>
        <v>089</v>
      </c>
      <c r="J20" s="385" t="s">
        <v>255</v>
      </c>
      <c r="K20" s="414" t="str">
        <f>MFC!F20</f>
        <v>EL7; 3 new XFT presses</v>
      </c>
      <c r="L20" s="369" t="str">
        <f>MFC!G20</f>
        <v>HcP</v>
      </c>
      <c r="M20" s="370" t="str">
        <f>MFC!H20</f>
        <v>EL07</v>
      </c>
      <c r="N20" s="369" t="str">
        <f>MFC!I20</f>
        <v>CJM</v>
      </c>
      <c r="O20" s="387" t="str">
        <f>MFC!J20</f>
        <v>DR#0/1</v>
      </c>
      <c r="P20" s="387" t="str">
        <f>MFC!K20</f>
        <v>P16-592</v>
      </c>
      <c r="Q20" s="415" t="s">
        <v>234</v>
      </c>
      <c r="R20" s="415"/>
      <c r="S20" s="415"/>
      <c r="T20" s="415"/>
      <c r="U20" s="415"/>
      <c r="V20" s="415"/>
      <c r="W20" s="415"/>
      <c r="X20" s="415"/>
      <c r="Y20" s="415"/>
      <c r="Z20" s="415"/>
      <c r="AA20" s="415"/>
      <c r="AB20" s="415"/>
      <c r="AC20" s="415"/>
      <c r="AD20" s="415"/>
      <c r="AE20" s="415"/>
      <c r="AF20" s="415"/>
      <c r="AG20" s="415"/>
      <c r="AH20" s="415"/>
      <c r="AI20" s="415"/>
      <c r="AJ20" s="415"/>
      <c r="AK20" s="415"/>
      <c r="AL20" s="415"/>
      <c r="AM20" s="415"/>
      <c r="AN20" s="415"/>
      <c r="AO20" s="415"/>
      <c r="AP20" s="415"/>
      <c r="AQ20" s="415"/>
      <c r="AR20" s="661">
        <f>MFC!L20</f>
        <v>42691</v>
      </c>
      <c r="AS20" s="662">
        <f>MFC!P20</f>
        <v>42772</v>
      </c>
      <c r="AT20" s="373"/>
      <c r="AU20" s="373"/>
      <c r="AV20" s="373"/>
      <c r="AW20" s="373"/>
      <c r="AX20" s="373"/>
      <c r="AY20" s="373"/>
      <c r="AZ20" s="373"/>
      <c r="BA20" s="389">
        <v>42780</v>
      </c>
      <c r="BB20" s="389">
        <v>42795</v>
      </c>
      <c r="BC20" s="389">
        <v>42795</v>
      </c>
      <c r="BD20" s="389">
        <v>42802</v>
      </c>
      <c r="BE20" s="389">
        <v>42835</v>
      </c>
      <c r="BF20" s="389">
        <v>42838</v>
      </c>
      <c r="BG20" s="375">
        <f>MFC!Q20</f>
        <v>42809</v>
      </c>
      <c r="BH20" s="390" t="s">
        <v>349</v>
      </c>
      <c r="BI20" s="375">
        <f>MFC!R20</f>
        <v>42828</v>
      </c>
      <c r="BJ20" s="375">
        <f>MFC!U20</f>
        <v>42838</v>
      </c>
      <c r="BK20" s="376">
        <f>MFC!W20</f>
        <v>42835</v>
      </c>
      <c r="BL20" s="376">
        <f>MFC!Y20</f>
        <v>42838</v>
      </c>
      <c r="BM20" s="111"/>
      <c r="BN20" s="111"/>
      <c r="BO20" s="111"/>
      <c r="BP20" s="111"/>
      <c r="BQ20" s="111"/>
      <c r="BR20" s="111"/>
      <c r="BS20" s="111"/>
      <c r="BT20" s="111"/>
      <c r="BU20" s="111"/>
      <c r="BV20" s="111"/>
      <c r="BW20" s="111"/>
      <c r="BX20" s="111"/>
      <c r="BY20" s="111"/>
      <c r="BZ20" s="111">
        <v>42829</v>
      </c>
      <c r="CA20" s="111"/>
      <c r="CB20" s="111"/>
      <c r="CC20" s="111"/>
      <c r="CD20" s="111"/>
      <c r="CE20" s="111"/>
      <c r="CF20" s="111"/>
    </row>
    <row r="21" spans="1:85" s="206" customFormat="1">
      <c r="A21" s="212">
        <v>20</v>
      </c>
      <c r="B21" s="209" t="s">
        <v>225</v>
      </c>
      <c r="C21" s="209" t="s">
        <v>225</v>
      </c>
      <c r="D21" s="209" t="s">
        <v>225</v>
      </c>
      <c r="E21" s="363">
        <f>MFC!A21</f>
        <v>0</v>
      </c>
      <c r="F21" s="363">
        <f>MFC!B21</f>
        <v>42957</v>
      </c>
      <c r="G21" s="364">
        <f>MFC!C21</f>
        <v>420</v>
      </c>
      <c r="H21" s="377" t="str">
        <f>MFC!D21</f>
        <v>R</v>
      </c>
      <c r="I21" s="394" t="str">
        <f>MFC!E21</f>
        <v>089</v>
      </c>
      <c r="J21" s="367" t="s">
        <v>327</v>
      </c>
      <c r="K21" s="416" t="str">
        <f>MFC!F21</f>
        <v>PL: LL11: Cutting/bending from PL3 to PL5 (Scope 2)</v>
      </c>
      <c r="L21" s="369" t="str">
        <f>MFC!G21</f>
        <v>HcP</v>
      </c>
      <c r="M21" s="370" t="str">
        <f>MFC!H21</f>
        <v>LL11</v>
      </c>
      <c r="N21" s="369" t="str">
        <f>MFC!I21</f>
        <v>CJM</v>
      </c>
      <c r="O21" s="400" t="str">
        <f>MFC!J21</f>
        <v>P17-wait</v>
      </c>
      <c r="P21" s="400">
        <f>MFC!K21</f>
        <v>0</v>
      </c>
      <c r="Q21" s="372"/>
      <c r="R21" s="381" t="s">
        <v>242</v>
      </c>
      <c r="S21" s="380"/>
      <c r="T21" s="381" t="s">
        <v>247</v>
      </c>
      <c r="U21" s="380"/>
      <c r="V21" s="391"/>
      <c r="W21" s="380"/>
      <c r="X21" s="391"/>
      <c r="Y21" s="380"/>
      <c r="Z21" s="380" t="s">
        <v>231</v>
      </c>
      <c r="AA21" s="380"/>
      <c r="AB21" s="380"/>
      <c r="AC21" s="391"/>
      <c r="AD21" s="380"/>
      <c r="AE21" s="380"/>
      <c r="AF21" s="380"/>
      <c r="AG21" s="380"/>
      <c r="AH21" s="392" t="s">
        <v>256</v>
      </c>
      <c r="AI21" s="392" t="s">
        <v>248</v>
      </c>
      <c r="AJ21" s="392" t="s">
        <v>257</v>
      </c>
      <c r="AK21" s="380"/>
      <c r="AL21" s="380"/>
      <c r="AM21" s="380"/>
      <c r="AN21" s="380"/>
      <c r="AO21" s="380"/>
      <c r="AP21" s="380"/>
      <c r="AQ21" s="380"/>
      <c r="AR21" s="678">
        <f>MFC!L21</f>
        <v>42836</v>
      </c>
      <c r="AS21" s="980">
        <f>MFC!P21</f>
        <v>42849</v>
      </c>
      <c r="AT21" s="973"/>
      <c r="AU21" s="373"/>
      <c r="AV21" s="373"/>
      <c r="AW21" s="373"/>
      <c r="AX21" s="373"/>
      <c r="AY21" s="373"/>
      <c r="AZ21" s="373"/>
      <c r="BA21" s="989">
        <v>42815</v>
      </c>
      <c r="BB21" s="989">
        <v>42874</v>
      </c>
      <c r="BC21" s="989">
        <v>42874</v>
      </c>
      <c r="BD21" s="989">
        <v>42878</v>
      </c>
      <c r="BE21" s="989">
        <v>42950</v>
      </c>
      <c r="BF21" s="989">
        <v>42950</v>
      </c>
      <c r="BG21" s="991">
        <f>MFC!Q21</f>
        <v>42877</v>
      </c>
      <c r="BH21" s="421">
        <v>42949</v>
      </c>
      <c r="BI21" s="407">
        <f>MFC!R21</f>
        <v>42949</v>
      </c>
      <c r="BJ21" s="407">
        <f>MFC!U21</f>
        <v>42957</v>
      </c>
      <c r="BK21" s="1075">
        <f>MFC!W21</f>
        <v>42975</v>
      </c>
      <c r="BL21" s="1075">
        <f>MFC!Y21</f>
        <v>42978</v>
      </c>
      <c r="BM21" s="111"/>
      <c r="BN21" s="111"/>
      <c r="BO21" s="111"/>
      <c r="BP21" s="111"/>
      <c r="BQ21" s="111"/>
      <c r="BR21" s="111"/>
      <c r="BS21" s="111"/>
      <c r="BT21" s="111"/>
      <c r="BU21" s="111"/>
      <c r="BV21" s="111"/>
      <c r="BW21" s="111"/>
      <c r="BX21" s="111"/>
      <c r="BY21" s="111"/>
      <c r="BZ21" s="111"/>
      <c r="CA21" s="111"/>
      <c r="CB21" s="111"/>
      <c r="CC21" s="111"/>
      <c r="CD21" s="111"/>
      <c r="CE21" s="111"/>
      <c r="CF21" s="111"/>
    </row>
    <row r="22" spans="1:85" s="206" customFormat="1" ht="14.25" customHeight="1">
      <c r="A22" s="212">
        <v>21</v>
      </c>
      <c r="B22" s="209"/>
      <c r="C22" s="209" t="s">
        <v>225</v>
      </c>
      <c r="D22" s="209" t="s">
        <v>225</v>
      </c>
      <c r="E22" s="363">
        <f>MFC!A22</f>
        <v>0</v>
      </c>
      <c r="F22" s="363">
        <f>MFC!B22</f>
        <v>42865</v>
      </c>
      <c r="G22" s="406">
        <f>MFC!C22</f>
        <v>116</v>
      </c>
      <c r="H22" s="377" t="str">
        <f>MFC!D22</f>
        <v>R</v>
      </c>
      <c r="I22" s="366" t="str">
        <f>MFC!E22</f>
        <v>089</v>
      </c>
      <c r="J22" s="367" t="s">
        <v>258</v>
      </c>
      <c r="K22" s="368" t="str">
        <f>MFC!F22</f>
        <v>Nippon Phase 3 28/10</v>
      </c>
      <c r="L22" s="369" t="str">
        <f>MFC!G22</f>
        <v>HcP</v>
      </c>
      <c r="M22" s="370" t="str">
        <f>MFC!H22</f>
        <v>EL</v>
      </c>
      <c r="N22" s="369" t="str">
        <f>MFC!I22</f>
        <v>CJM+S</v>
      </c>
      <c r="O22" s="371" t="str">
        <f>MFC!J22</f>
        <v>QRCA?</v>
      </c>
      <c r="P22" s="371" t="str">
        <f>MFC!K22</f>
        <v>P16-436</v>
      </c>
      <c r="Q22" s="372"/>
      <c r="R22" s="372" t="s">
        <v>244</v>
      </c>
      <c r="S22" s="372"/>
      <c r="T22" s="372"/>
      <c r="U22" s="372"/>
      <c r="V22" s="372"/>
      <c r="W22" s="372"/>
      <c r="X22" s="372"/>
      <c r="Y22" s="388"/>
      <c r="Z22" s="372"/>
      <c r="AA22" s="372" t="s">
        <v>248</v>
      </c>
      <c r="AB22" s="372"/>
      <c r="AC22" s="372"/>
      <c r="AD22" s="372"/>
      <c r="AE22" s="372"/>
      <c r="AF22" s="372"/>
      <c r="AG22" s="372"/>
      <c r="AH22" s="372" t="s">
        <v>257</v>
      </c>
      <c r="AI22" s="372"/>
      <c r="AJ22" s="372"/>
      <c r="AK22" s="372"/>
      <c r="AL22" s="372"/>
      <c r="AM22" s="372"/>
      <c r="AN22" s="372"/>
      <c r="AO22" s="372"/>
      <c r="AP22" s="372"/>
      <c r="AQ22" s="372"/>
      <c r="AR22" s="658">
        <f>MFC!L22</f>
        <v>42660</v>
      </c>
      <c r="AS22" s="658">
        <f>MFC!P22</f>
        <v>42689</v>
      </c>
      <c r="AT22" s="373"/>
      <c r="AU22" s="373"/>
      <c r="AV22" s="373"/>
      <c r="AW22" s="373"/>
      <c r="AX22" s="373"/>
      <c r="AY22" s="373"/>
      <c r="AZ22" s="373"/>
      <c r="BA22" s="373"/>
      <c r="BB22" s="389">
        <v>42845</v>
      </c>
      <c r="BC22" s="389">
        <v>42845</v>
      </c>
      <c r="BD22" s="389">
        <v>42845</v>
      </c>
      <c r="BE22" s="389">
        <v>42849</v>
      </c>
      <c r="BF22" s="389">
        <v>42852</v>
      </c>
      <c r="BG22" s="375" t="str">
        <f>MFC!Q22</f>
        <v>Jan'17</v>
      </c>
      <c r="BH22" s="390" t="s">
        <v>349</v>
      </c>
      <c r="BI22" s="375">
        <f>MFC!R22</f>
        <v>42846</v>
      </c>
      <c r="BJ22" s="397">
        <f>MFC!U22</f>
        <v>42865</v>
      </c>
      <c r="BK22" s="1075">
        <f>MFC!W22</f>
        <v>42931</v>
      </c>
      <c r="BL22" s="1075">
        <f>MFC!Y22</f>
        <v>42940</v>
      </c>
      <c r="BM22" s="111"/>
      <c r="BN22" s="111"/>
      <c r="BO22" s="111"/>
      <c r="BP22" s="111"/>
      <c r="BQ22" s="111"/>
      <c r="BR22" s="111"/>
      <c r="BS22" s="111"/>
      <c r="BT22" s="111"/>
      <c r="BU22" s="111"/>
      <c r="BV22" s="111"/>
      <c r="BW22" s="111"/>
      <c r="BX22" s="111"/>
      <c r="BY22" s="111"/>
      <c r="BZ22" s="111"/>
      <c r="CA22" s="111"/>
      <c r="CB22" s="111"/>
      <c r="CC22" s="111"/>
      <c r="CD22" s="111"/>
      <c r="CE22" s="111"/>
      <c r="CF22" s="111"/>
    </row>
    <row r="23" spans="1:85" s="206" customFormat="1">
      <c r="A23" s="212">
        <v>22</v>
      </c>
      <c r="B23" s="209"/>
      <c r="C23" s="209"/>
      <c r="D23" s="209" t="s">
        <v>225</v>
      </c>
      <c r="E23" s="363">
        <f>MFC!A23</f>
        <v>0</v>
      </c>
      <c r="F23" s="363">
        <f>MFC!B23</f>
        <v>0</v>
      </c>
      <c r="G23" s="364">
        <f>MFC!C23</f>
        <v>145</v>
      </c>
      <c r="H23" s="365" t="str">
        <f>MFC!D23</f>
        <v>R</v>
      </c>
      <c r="I23" s="366" t="str">
        <f>MFC!E23</f>
        <v>089</v>
      </c>
      <c r="J23" s="385" t="s">
        <v>259</v>
      </c>
      <c r="K23" s="368" t="str">
        <f>MFC!F23</f>
        <v>EL7, Line release incl Hardening/washing</v>
      </c>
      <c r="L23" s="369" t="str">
        <f>MFC!G23</f>
        <v>HcP</v>
      </c>
      <c r="M23" s="370" t="str">
        <f>MFC!H23</f>
        <v>EL07</v>
      </c>
      <c r="N23" s="369" t="str">
        <f>MFC!I23</f>
        <v>CJM+S</v>
      </c>
      <c r="O23" s="387" t="str">
        <f>MFC!J23</f>
        <v>DR#0/1</v>
      </c>
      <c r="P23" s="387" t="str">
        <f>MFC!K23</f>
        <v>P16-wait</v>
      </c>
      <c r="Q23" s="372"/>
      <c r="R23" s="381" t="s">
        <v>242</v>
      </c>
      <c r="S23" s="380"/>
      <c r="T23" s="380"/>
      <c r="U23" s="380" t="s">
        <v>180</v>
      </c>
      <c r="V23" s="417"/>
      <c r="W23" s="380" t="s">
        <v>231</v>
      </c>
      <c r="X23" s="380"/>
      <c r="Y23" s="380"/>
      <c r="Z23" s="418" t="s">
        <v>236</v>
      </c>
      <c r="AA23" s="380"/>
      <c r="AB23" s="380"/>
      <c r="AC23" s="380"/>
      <c r="AD23" s="380"/>
      <c r="AE23" s="380"/>
      <c r="AF23" s="392" t="s">
        <v>233</v>
      </c>
      <c r="AG23" s="380"/>
      <c r="AH23" s="392" t="s">
        <v>234</v>
      </c>
      <c r="AI23" s="380"/>
      <c r="AJ23" s="380"/>
      <c r="AK23" s="380"/>
      <c r="AL23" s="380"/>
      <c r="AM23" s="380"/>
      <c r="AN23" s="380"/>
      <c r="AO23" s="380"/>
      <c r="AP23" s="380"/>
      <c r="AQ23" s="380"/>
      <c r="AR23" s="657">
        <f>MFC!L23</f>
        <v>42691</v>
      </c>
      <c r="AS23" s="657">
        <f>MFC!P23</f>
        <v>42804</v>
      </c>
      <c r="AT23" s="389">
        <v>42835</v>
      </c>
      <c r="AU23" s="373"/>
      <c r="AV23" s="373"/>
      <c r="AW23" s="373"/>
      <c r="AX23" s="373"/>
      <c r="AY23" s="373"/>
      <c r="AZ23" s="373"/>
      <c r="BA23" s="373"/>
      <c r="BB23" s="383">
        <v>42870</v>
      </c>
      <c r="BC23" s="383">
        <v>42870</v>
      </c>
      <c r="BD23" s="383">
        <v>42894</v>
      </c>
      <c r="BE23" s="383">
        <v>42941</v>
      </c>
      <c r="BF23" s="383">
        <v>42941</v>
      </c>
      <c r="BG23" s="407">
        <f>MFC!Q23</f>
        <v>42884</v>
      </c>
      <c r="BH23" s="731">
        <v>42937</v>
      </c>
      <c r="BI23" s="1002">
        <f>MFC!R23</f>
        <v>42936</v>
      </c>
      <c r="BJ23" s="407">
        <f>MFC!U23</f>
        <v>42942</v>
      </c>
      <c r="BK23" s="1075">
        <f>MFC!W23</f>
        <v>42943</v>
      </c>
      <c r="BL23" s="1075">
        <f>MFC!Y23</f>
        <v>42943</v>
      </c>
      <c r="BM23" s="111"/>
      <c r="BN23" s="111"/>
      <c r="BO23" s="111"/>
      <c r="BP23" s="111"/>
      <c r="BQ23" s="111"/>
      <c r="BR23" s="111"/>
      <c r="BS23" s="111"/>
      <c r="BT23" s="111"/>
      <c r="BU23" s="111"/>
      <c r="BV23" s="111"/>
      <c r="BW23" s="111"/>
      <c r="BX23" s="111"/>
      <c r="BY23" s="111"/>
      <c r="BZ23" s="111"/>
      <c r="CA23" s="111"/>
      <c r="CB23" s="111"/>
      <c r="CC23" s="111"/>
      <c r="CD23" s="111"/>
      <c r="CE23" s="111"/>
      <c r="CF23" s="111"/>
    </row>
    <row r="24" spans="1:85" s="206" customFormat="1" ht="12" customHeight="1">
      <c r="A24" s="212">
        <v>23</v>
      </c>
      <c r="B24" s="209" t="s">
        <v>225</v>
      </c>
      <c r="C24" s="209" t="s">
        <v>225</v>
      </c>
      <c r="D24" s="209" t="s">
        <v>225</v>
      </c>
      <c r="E24" s="363">
        <f>MFC!A24</f>
        <v>0</v>
      </c>
      <c r="F24" s="363">
        <f>MFC!B24</f>
        <v>42930</v>
      </c>
      <c r="G24" s="364">
        <f>MFC!C24</f>
        <v>211</v>
      </c>
      <c r="H24" s="365" t="str">
        <f>MFC!D24</f>
        <v>R</v>
      </c>
      <c r="I24" s="366" t="str">
        <f>MFC!E24</f>
        <v>089</v>
      </c>
      <c r="J24" s="385" t="s">
        <v>260</v>
      </c>
      <c r="K24" s="379" t="str">
        <f>MFC!F24</f>
        <v xml:space="preserve">LL11: Cycle time upgrade (Scope 3) </v>
      </c>
      <c r="L24" s="369" t="str">
        <f>MFC!G24</f>
        <v>HcP</v>
      </c>
      <c r="M24" s="370" t="str">
        <f>MFC!H24</f>
        <v>LL11</v>
      </c>
      <c r="N24" s="369" t="str">
        <f>MFC!I24</f>
        <v>CJM</v>
      </c>
      <c r="O24" s="371" t="str">
        <f>MFC!J24</f>
        <v>P17-wait</v>
      </c>
      <c r="P24" s="371">
        <f>MFC!K24</f>
        <v>0</v>
      </c>
      <c r="Q24" s="372"/>
      <c r="R24" s="417"/>
      <c r="S24" s="417"/>
      <c r="T24" s="381" t="s">
        <v>261</v>
      </c>
      <c r="U24" s="417"/>
      <c r="V24" s="381" t="s">
        <v>180</v>
      </c>
      <c r="W24" s="380" t="s">
        <v>262</v>
      </c>
      <c r="X24" s="380"/>
      <c r="Y24" s="392" t="s">
        <v>232</v>
      </c>
      <c r="Z24" s="419" t="s">
        <v>233</v>
      </c>
      <c r="AA24" s="380"/>
      <c r="AB24" s="380"/>
      <c r="AC24" s="380"/>
      <c r="AD24" s="392" t="s">
        <v>234</v>
      </c>
      <c r="AE24" s="380"/>
      <c r="AF24" s="380"/>
      <c r="AG24" s="380"/>
      <c r="AH24" s="380"/>
      <c r="AI24" s="380"/>
      <c r="AJ24" s="380"/>
      <c r="AK24" s="380"/>
      <c r="AL24" s="380"/>
      <c r="AM24" s="380"/>
      <c r="AN24" s="380"/>
      <c r="AO24" s="380"/>
      <c r="AP24" s="380"/>
      <c r="AQ24" s="380"/>
      <c r="AR24" s="657">
        <f>MFC!L24</f>
        <v>42755</v>
      </c>
      <c r="AS24" s="663">
        <f>MFC!P24</f>
        <v>42871</v>
      </c>
      <c r="AT24" s="383">
        <v>42866</v>
      </c>
      <c r="AU24" s="373"/>
      <c r="AV24" s="373"/>
      <c r="AW24" s="373"/>
      <c r="AX24" s="373"/>
      <c r="AY24" s="373"/>
      <c r="AZ24" s="373"/>
      <c r="BA24" s="383">
        <v>42866</v>
      </c>
      <c r="BB24" s="383">
        <v>42880</v>
      </c>
      <c r="BC24" s="383">
        <v>42880</v>
      </c>
      <c r="BD24" s="383">
        <v>42892</v>
      </c>
      <c r="BE24" s="420">
        <v>42928</v>
      </c>
      <c r="BF24" s="420">
        <v>42928</v>
      </c>
      <c r="BG24" s="421">
        <f>MFC!Q24</f>
        <v>42867</v>
      </c>
      <c r="BH24" s="731">
        <v>42915</v>
      </c>
      <c r="BI24" s="412">
        <f>MFC!R24</f>
        <v>42913</v>
      </c>
      <c r="BJ24" s="407">
        <f>MFC!U24</f>
        <v>42930</v>
      </c>
      <c r="BK24" s="1075">
        <f>MFC!W24</f>
        <v>42930</v>
      </c>
      <c r="BL24" s="1075">
        <f>MFC!Y24</f>
        <v>42930</v>
      </c>
      <c r="BM24" s="111"/>
      <c r="BN24" s="111"/>
      <c r="BO24" s="111"/>
      <c r="BP24" s="111"/>
      <c r="BQ24" s="111"/>
      <c r="BR24" s="111"/>
      <c r="BS24" s="111"/>
      <c r="BT24" s="111"/>
      <c r="BU24" s="111"/>
      <c r="BV24" s="111"/>
      <c r="BW24" s="111"/>
      <c r="BX24" s="111"/>
      <c r="BY24" s="111"/>
      <c r="BZ24" s="111"/>
      <c r="CA24" s="111"/>
      <c r="CB24" s="111"/>
      <c r="CC24" s="111"/>
      <c r="CD24" s="111"/>
      <c r="CE24" s="111"/>
      <c r="CF24" s="111"/>
    </row>
    <row r="25" spans="1:85" s="206" customFormat="1" ht="12.75" customHeight="1">
      <c r="A25" s="212">
        <v>24</v>
      </c>
      <c r="B25" s="209"/>
      <c r="C25" s="209"/>
      <c r="D25" s="209" t="s">
        <v>225</v>
      </c>
      <c r="E25" s="363">
        <v>42874</v>
      </c>
      <c r="F25" s="363">
        <f>MFC!B25</f>
        <v>42947</v>
      </c>
      <c r="G25" s="364">
        <f>MFC!C25</f>
        <v>341</v>
      </c>
      <c r="H25" s="365" t="str">
        <f>MFC!D25</f>
        <v>R</v>
      </c>
      <c r="I25" s="366" t="str">
        <f>MFC!E25</f>
        <v>089</v>
      </c>
      <c r="J25" s="385" t="s">
        <v>263</v>
      </c>
      <c r="K25" s="368" t="str">
        <f>MFC!F25</f>
        <v>EL7, Deburring 1+2</v>
      </c>
      <c r="L25" s="369" t="str">
        <f>MFC!G25</f>
        <v>HcP</v>
      </c>
      <c r="M25" s="370" t="str">
        <f>MFC!H25</f>
        <v>EL07</v>
      </c>
      <c r="N25" s="369" t="str">
        <f>MFC!I25</f>
        <v>CJM+S</v>
      </c>
      <c r="O25" s="387" t="str">
        <f>MFC!J25</f>
        <v>DR#0/1</v>
      </c>
      <c r="P25" s="387" t="str">
        <f>MFC!K25</f>
        <v>P16-wait</v>
      </c>
      <c r="Q25" s="372"/>
      <c r="R25" s="380"/>
      <c r="S25" s="381" t="s">
        <v>242</v>
      </c>
      <c r="T25" s="380"/>
      <c r="U25" s="380"/>
      <c r="V25" s="380"/>
      <c r="W25" s="381" t="s">
        <v>295</v>
      </c>
      <c r="X25" s="380" t="s">
        <v>294</v>
      </c>
      <c r="Y25" s="380"/>
      <c r="Z25" s="380"/>
      <c r="AA25" s="380" t="s">
        <v>262</v>
      </c>
      <c r="AB25" s="380"/>
      <c r="AC25" s="380"/>
      <c r="AD25" s="392" t="s">
        <v>252</v>
      </c>
      <c r="AE25" s="392" t="s">
        <v>248</v>
      </c>
      <c r="AF25" s="380"/>
      <c r="AG25" s="380"/>
      <c r="AH25" s="380"/>
      <c r="AI25" s="380"/>
      <c r="AJ25" s="380"/>
      <c r="AK25" s="380"/>
      <c r="AL25" s="380"/>
      <c r="AM25" s="380"/>
      <c r="AN25" s="380"/>
      <c r="AO25" s="380"/>
      <c r="AP25" s="380"/>
      <c r="AQ25" s="380"/>
      <c r="AR25" s="657">
        <f>MFC!L25</f>
        <v>42691</v>
      </c>
      <c r="AS25" s="981">
        <f>MFC!P25</f>
        <v>42908</v>
      </c>
      <c r="AT25" s="389">
        <v>42835</v>
      </c>
      <c r="AU25" s="373"/>
      <c r="AV25" s="373"/>
      <c r="AW25" s="373"/>
      <c r="AX25" s="373"/>
      <c r="AY25" s="373"/>
      <c r="AZ25" s="373"/>
      <c r="BA25" s="373"/>
      <c r="BB25" s="383">
        <v>42873</v>
      </c>
      <c r="BC25" s="383">
        <v>42873</v>
      </c>
      <c r="BD25" s="383">
        <v>42902</v>
      </c>
      <c r="BE25" s="383">
        <v>42937</v>
      </c>
      <c r="BF25" s="383">
        <v>42937</v>
      </c>
      <c r="BG25" s="407">
        <f>MFC!Q25</f>
        <v>42892</v>
      </c>
      <c r="BH25" s="731">
        <v>42935</v>
      </c>
      <c r="BI25" s="421">
        <f>MFC!R25</f>
        <v>42940</v>
      </c>
      <c r="BJ25" s="407">
        <f>MFC!U25</f>
        <v>42942</v>
      </c>
      <c r="BK25" s="1075">
        <f>MFC!W25</f>
        <v>42943</v>
      </c>
      <c r="BL25" s="1075">
        <f>MFC!Y25</f>
        <v>42943</v>
      </c>
      <c r="BM25" s="111"/>
      <c r="BN25" s="111"/>
      <c r="BO25" s="111"/>
      <c r="BP25" s="111"/>
      <c r="BQ25" s="111"/>
      <c r="BR25" s="111"/>
      <c r="BS25" s="111"/>
      <c r="BT25" s="111"/>
      <c r="BU25" s="111"/>
      <c r="BV25" s="111"/>
      <c r="BW25" s="111"/>
      <c r="BX25" s="111"/>
      <c r="BY25" s="111"/>
      <c r="BZ25" s="111"/>
      <c r="CA25" s="111"/>
      <c r="CB25" s="111"/>
      <c r="CC25" s="111"/>
      <c r="CD25" s="111"/>
      <c r="CE25" s="111"/>
      <c r="CF25" s="111"/>
    </row>
    <row r="26" spans="1:85" s="206" customFormat="1">
      <c r="A26" s="212">
        <v>25</v>
      </c>
      <c r="B26" s="209" t="s">
        <v>225</v>
      </c>
      <c r="C26" s="209" t="s">
        <v>225</v>
      </c>
      <c r="D26" s="209" t="s">
        <v>225</v>
      </c>
      <c r="E26" s="363">
        <f>MFC!A26</f>
        <v>0</v>
      </c>
      <c r="F26" s="363">
        <f>MFC!B26</f>
        <v>0</v>
      </c>
      <c r="G26" s="364">
        <f>MFC!C26</f>
        <v>263</v>
      </c>
      <c r="H26" s="377" t="str">
        <f>MFC!D26</f>
        <v>R</v>
      </c>
      <c r="I26" s="394" t="str">
        <f>MFC!E26</f>
        <v>089</v>
      </c>
      <c r="J26" s="423" t="s">
        <v>264</v>
      </c>
      <c r="K26" s="379" t="str">
        <f>MFC!F26</f>
        <v>Release AL10 SlpP for 089</v>
      </c>
      <c r="L26" s="369" t="str">
        <f>MFC!G26</f>
        <v>SlpP</v>
      </c>
      <c r="M26" s="370" t="str">
        <f>MFC!H26</f>
        <v>AL10</v>
      </c>
      <c r="N26" s="369" t="str">
        <f>MFC!I26</f>
        <v>M+S</v>
      </c>
      <c r="O26" s="387" t="str">
        <f>MFC!J26</f>
        <v>DR#0/1</v>
      </c>
      <c r="P26" s="387" t="str">
        <f>MFC!K26</f>
        <v>P16-wait</v>
      </c>
      <c r="Q26" s="372"/>
      <c r="R26" s="380"/>
      <c r="S26" s="424" t="s">
        <v>261</v>
      </c>
      <c r="T26" s="417"/>
      <c r="U26" s="380"/>
      <c r="V26" s="425" t="s">
        <v>265</v>
      </c>
      <c r="W26" s="380"/>
      <c r="X26" s="426" t="s">
        <v>291</v>
      </c>
      <c r="Y26" s="380" t="s">
        <v>266</v>
      </c>
      <c r="Z26" s="380"/>
      <c r="AA26" s="380"/>
      <c r="AB26" s="417"/>
      <c r="AC26" s="380"/>
      <c r="AD26" s="392" t="s">
        <v>244</v>
      </c>
      <c r="AE26" s="392" t="s">
        <v>233</v>
      </c>
      <c r="AF26" s="392" t="s">
        <v>234</v>
      </c>
      <c r="AG26" s="380"/>
      <c r="AH26" s="380"/>
      <c r="AI26" s="380"/>
      <c r="AJ26" s="380"/>
      <c r="AK26" s="380"/>
      <c r="AL26" s="380"/>
      <c r="AM26" s="380"/>
      <c r="AN26" s="380"/>
      <c r="AO26" s="380"/>
      <c r="AP26" s="380"/>
      <c r="AQ26" s="380"/>
      <c r="AR26" s="678">
        <f>MFC!L26</f>
        <v>42657</v>
      </c>
      <c r="AS26" s="677">
        <f>MFC!P26</f>
        <v>42909</v>
      </c>
      <c r="AT26" s="973"/>
      <c r="AU26" s="373"/>
      <c r="AV26" s="373"/>
      <c r="AW26" s="373"/>
      <c r="AX26" s="373"/>
      <c r="AY26" s="373"/>
      <c r="AZ26" s="373"/>
      <c r="BA26" s="973"/>
      <c r="BB26" s="989">
        <v>42872</v>
      </c>
      <c r="BC26" s="989">
        <v>42872</v>
      </c>
      <c r="BD26" s="989">
        <v>42891</v>
      </c>
      <c r="BE26" s="989">
        <v>42942</v>
      </c>
      <c r="BF26" s="989">
        <v>42942</v>
      </c>
      <c r="BG26" s="421">
        <f>MFC!Q26</f>
        <v>42879</v>
      </c>
      <c r="BH26" s="421" t="s">
        <v>352</v>
      </c>
      <c r="BI26" s="407">
        <f>MFC!R26</f>
        <v>42940</v>
      </c>
      <c r="BJ26" s="407">
        <f>MFC!U26</f>
        <v>42999</v>
      </c>
      <c r="BK26" s="1075">
        <f>MFC!W26</f>
        <v>43132</v>
      </c>
      <c r="BL26" s="408">
        <f>MFC!Y26</f>
        <v>43133</v>
      </c>
      <c r="BM26" s="111"/>
      <c r="BN26" s="111"/>
      <c r="BO26" s="111"/>
      <c r="BP26" s="111"/>
      <c r="BQ26" s="111"/>
      <c r="BR26" s="111"/>
      <c r="BS26" s="111"/>
      <c r="BT26" s="111"/>
      <c r="BU26" s="111"/>
      <c r="BV26" s="111"/>
      <c r="BW26" s="111">
        <v>42822</v>
      </c>
      <c r="BX26" s="111" t="s">
        <v>267</v>
      </c>
      <c r="BY26" s="111"/>
      <c r="BZ26" s="111"/>
      <c r="CA26" s="111"/>
      <c r="CB26" s="111"/>
      <c r="CC26" s="111"/>
      <c r="CD26" s="111"/>
      <c r="CE26" s="111"/>
      <c r="CF26" s="111"/>
    </row>
    <row r="27" spans="1:85" s="206" customFormat="1">
      <c r="A27" s="212">
        <v>26</v>
      </c>
      <c r="B27" s="209"/>
      <c r="C27" s="209"/>
      <c r="D27" s="209" t="s">
        <v>225</v>
      </c>
      <c r="E27" s="363">
        <f>MFC!A27</f>
        <v>0</v>
      </c>
      <c r="F27" s="363">
        <f>MFC!B27</f>
        <v>0</v>
      </c>
      <c r="G27" s="364">
        <f>MFC!C27</f>
        <v>342</v>
      </c>
      <c r="H27" s="365" t="str">
        <f>MFC!D27</f>
        <v>R</v>
      </c>
      <c r="I27" s="366" t="str">
        <f>MFC!E27</f>
        <v>089</v>
      </c>
      <c r="J27" s="385" t="s">
        <v>371</v>
      </c>
      <c r="K27" s="368" t="str">
        <f>MFC!F27</f>
        <v>EL7, Deburring 3+4</v>
      </c>
      <c r="L27" s="369" t="str">
        <f>MFC!G27</f>
        <v>HcP</v>
      </c>
      <c r="M27" s="370" t="str">
        <f>MFC!H27</f>
        <v>EL07</v>
      </c>
      <c r="N27" s="369" t="str">
        <f>MFC!I27</f>
        <v>CJM+S</v>
      </c>
      <c r="O27" s="387" t="str">
        <f>MFC!J27</f>
        <v>DR#0/1</v>
      </c>
      <c r="P27" s="387" t="str">
        <f>MFC!K27</f>
        <v>P16-wait</v>
      </c>
      <c r="Q27" s="372"/>
      <c r="R27" s="380"/>
      <c r="S27" s="381" t="s">
        <v>242</v>
      </c>
      <c r="T27" s="380"/>
      <c r="U27" s="380"/>
      <c r="V27" s="380"/>
      <c r="W27" s="380" t="s">
        <v>247</v>
      </c>
      <c r="X27" s="380"/>
      <c r="Y27" s="380"/>
      <c r="Z27" s="380"/>
      <c r="AA27" s="380"/>
      <c r="AB27" s="380"/>
      <c r="AC27" s="380"/>
      <c r="AD27" s="380"/>
      <c r="AE27" s="380"/>
      <c r="AF27" s="380" t="s">
        <v>246</v>
      </c>
      <c r="AG27" s="380"/>
      <c r="AH27" s="380"/>
      <c r="AI27" s="380"/>
      <c r="AJ27" s="380" t="s">
        <v>236</v>
      </c>
      <c r="AK27" s="380"/>
      <c r="AL27" s="392" t="s">
        <v>232</v>
      </c>
      <c r="AM27" s="380"/>
      <c r="AN27" s="380"/>
      <c r="AO27" s="392" t="s">
        <v>233</v>
      </c>
      <c r="AP27" s="380"/>
      <c r="AQ27" s="380"/>
      <c r="AR27" s="678">
        <f>MFC!L27</f>
        <v>42691</v>
      </c>
      <c r="AS27" s="678">
        <f>MFC!P27</f>
        <v>42908</v>
      </c>
      <c r="AT27" s="389">
        <v>42842</v>
      </c>
      <c r="AU27" s="373"/>
      <c r="AV27" s="373"/>
      <c r="AW27" s="373"/>
      <c r="AX27" s="373"/>
      <c r="AY27" s="373"/>
      <c r="AZ27" s="373"/>
      <c r="BA27" s="373"/>
      <c r="BB27" s="989">
        <v>42873</v>
      </c>
      <c r="BC27" s="989">
        <v>42873</v>
      </c>
      <c r="BD27" s="989">
        <f>BD25</f>
        <v>42902</v>
      </c>
      <c r="BE27" s="989">
        <v>43011</v>
      </c>
      <c r="BF27" s="990">
        <v>43011</v>
      </c>
      <c r="BG27" s="407">
        <f>MFC!Q27</f>
        <v>42978</v>
      </c>
      <c r="BH27" s="421">
        <v>43011</v>
      </c>
      <c r="BI27" s="421" t="str">
        <f>MFC!R27</f>
        <v>28-9</v>
      </c>
      <c r="BJ27" s="407">
        <f>MFC!U27</f>
        <v>43019</v>
      </c>
      <c r="BK27" s="1075">
        <f>MFC!W27</f>
        <v>43028</v>
      </c>
      <c r="BL27" s="1073">
        <f>MFC!Y27</f>
        <v>0</v>
      </c>
      <c r="BM27" s="111"/>
      <c r="BN27" s="111"/>
      <c r="BO27" s="111"/>
      <c r="BP27" s="111"/>
      <c r="BQ27" s="111"/>
      <c r="BR27" s="111"/>
      <c r="BS27" s="111"/>
      <c r="BT27" s="111"/>
      <c r="BU27" s="111"/>
      <c r="BV27" s="111"/>
      <c r="BW27" s="111"/>
      <c r="BX27" s="111"/>
      <c r="BY27" s="111"/>
      <c r="BZ27" s="111"/>
      <c r="CA27" s="111"/>
      <c r="CB27" s="111"/>
      <c r="CC27" s="111"/>
      <c r="CD27" s="111"/>
      <c r="CE27" s="111"/>
      <c r="CF27" s="111"/>
      <c r="CG27" s="715"/>
    </row>
    <row r="28" spans="1:85" s="227" customFormat="1" outlineLevel="1">
      <c r="A28" s="224">
        <v>27</v>
      </c>
      <c r="B28" s="225"/>
      <c r="C28" s="225"/>
      <c r="D28" s="226"/>
      <c r="E28" s="427">
        <f>MFC!A28</f>
        <v>0</v>
      </c>
      <c r="F28" s="427">
        <f>MFC!B28</f>
        <v>0</v>
      </c>
      <c r="G28" s="428">
        <f>MFC!C28</f>
        <v>296</v>
      </c>
      <c r="H28" s="429">
        <f>MFC!D28</f>
        <v>0</v>
      </c>
      <c r="I28" s="430" t="str">
        <f>MFC!E28</f>
        <v>089</v>
      </c>
      <c r="J28" s="431" t="s">
        <v>268</v>
      </c>
      <c r="K28" s="432" t="str">
        <f>MFC!F28</f>
        <v>Relocation AL5 to SlpP for Jatco</v>
      </c>
      <c r="L28" s="433" t="str">
        <f>MFC!G28</f>
        <v>SlpP</v>
      </c>
      <c r="M28" s="370" t="str">
        <f>MFC!H28</f>
        <v>AL05</v>
      </c>
      <c r="N28" s="433" t="str">
        <f>MFC!I28</f>
        <v>M</v>
      </c>
      <c r="O28" s="433">
        <f>MFC!J28</f>
        <v>0</v>
      </c>
      <c r="P28" s="433">
        <f>MFC!K28</f>
        <v>0</v>
      </c>
      <c r="Q28" s="434"/>
      <c r="R28" s="434"/>
      <c r="S28" s="434"/>
      <c r="T28" s="434"/>
      <c r="U28" s="434"/>
      <c r="V28" s="434"/>
      <c r="W28" s="434"/>
      <c r="X28" s="434"/>
      <c r="Y28" s="434"/>
      <c r="Z28" s="434"/>
      <c r="AA28" s="434"/>
      <c r="AB28" s="434"/>
      <c r="AC28" s="434"/>
      <c r="AD28" s="434"/>
      <c r="AE28" s="434"/>
      <c r="AF28" s="434"/>
      <c r="AG28" s="434"/>
      <c r="AH28" s="434"/>
      <c r="AI28" s="434"/>
      <c r="AJ28" s="434"/>
      <c r="AK28" s="434"/>
      <c r="AL28" s="434"/>
      <c r="AM28" s="434"/>
      <c r="AN28" s="434"/>
      <c r="AO28" s="434"/>
      <c r="AP28" s="434"/>
      <c r="AQ28" s="434"/>
      <c r="AR28" s="664">
        <f>MFC!L28</f>
        <v>42811</v>
      </c>
      <c r="AS28" s="664">
        <f>MFC!P28</f>
        <v>42851</v>
      </c>
      <c r="AT28" s="435"/>
      <c r="AU28" s="435"/>
      <c r="AV28" s="435"/>
      <c r="AW28" s="435"/>
      <c r="AX28" s="435"/>
      <c r="AY28" s="435"/>
      <c r="AZ28" s="435"/>
      <c r="BA28" s="435"/>
      <c r="BB28" s="435"/>
      <c r="BC28" s="435"/>
      <c r="BD28" s="435"/>
      <c r="BE28" s="435"/>
      <c r="BF28" s="435"/>
      <c r="BG28" s="436">
        <f>MFC!Q28</f>
        <v>42972</v>
      </c>
      <c r="BH28" s="390" t="s">
        <v>349</v>
      </c>
      <c r="BI28" s="436">
        <f>MFC!R28</f>
        <v>43000</v>
      </c>
      <c r="BJ28" s="436">
        <f>MFC!U28</f>
        <v>43028</v>
      </c>
      <c r="BK28" s="437">
        <f>MFC!W28</f>
        <v>43045</v>
      </c>
      <c r="BL28" s="437">
        <f>MFC!Y28</f>
        <v>43070</v>
      </c>
      <c r="BM28" s="111"/>
      <c r="BN28" s="111"/>
      <c r="BO28" s="111"/>
      <c r="BP28" s="111"/>
      <c r="BQ28" s="111"/>
      <c r="BR28" s="111"/>
      <c r="BS28" s="111"/>
      <c r="BT28" s="111"/>
      <c r="BU28" s="111"/>
      <c r="BV28" s="111"/>
      <c r="BW28" s="111"/>
      <c r="BX28" s="111"/>
      <c r="BY28" s="111"/>
      <c r="BZ28" s="111"/>
      <c r="CA28" s="111"/>
      <c r="CB28" s="111"/>
      <c r="CC28" s="111"/>
      <c r="CD28" s="111"/>
      <c r="CE28" s="111"/>
      <c r="CF28" s="111"/>
    </row>
    <row r="29" spans="1:85" s="206" customFormat="1">
      <c r="A29" s="212">
        <v>28</v>
      </c>
      <c r="B29" s="209"/>
      <c r="C29" s="209"/>
      <c r="D29" s="209" t="s">
        <v>225</v>
      </c>
      <c r="E29" s="363">
        <f>MFC!A29</f>
        <v>0</v>
      </c>
      <c r="F29" s="363">
        <f>MFC!B29</f>
        <v>0</v>
      </c>
      <c r="G29" s="405">
        <f>MFC!C29</f>
        <v>132</v>
      </c>
      <c r="H29" s="377">
        <f>MFC!D29</f>
        <v>0</v>
      </c>
      <c r="I29" s="366" t="str">
        <f>MFC!E29</f>
        <v>089</v>
      </c>
      <c r="J29" s="385" t="s">
        <v>269</v>
      </c>
      <c r="K29" s="379" t="str">
        <f>MFC!F29</f>
        <v>New AL16 HcP</v>
      </c>
      <c r="L29" s="369" t="str">
        <f>MFC!G29</f>
        <v>HcP</v>
      </c>
      <c r="M29" s="370" t="str">
        <f>MFC!H29</f>
        <v>AL16</v>
      </c>
      <c r="N29" s="369" t="str">
        <f>MFC!I29</f>
        <v>CJM</v>
      </c>
      <c r="O29" s="387" t="str">
        <f>MFC!J29</f>
        <v>DR#0/1</v>
      </c>
      <c r="P29" s="387">
        <f>MFC!K29</f>
        <v>0</v>
      </c>
      <c r="Q29" s="372"/>
      <c r="R29" s="380"/>
      <c r="S29" s="380"/>
      <c r="T29" s="380"/>
      <c r="U29" s="380"/>
      <c r="V29" s="380"/>
      <c r="W29" s="380"/>
      <c r="X29" s="380"/>
      <c r="Y29" s="380"/>
      <c r="Z29" s="380"/>
      <c r="AA29" s="380"/>
      <c r="AB29" s="380"/>
      <c r="AC29" s="380"/>
      <c r="AD29" s="380"/>
      <c r="AE29" s="380"/>
      <c r="AF29" s="380"/>
      <c r="AG29" s="380"/>
      <c r="AH29" s="380"/>
      <c r="AI29" s="380"/>
      <c r="AJ29" s="380"/>
      <c r="AK29" s="380"/>
      <c r="AL29" s="380"/>
      <c r="AM29" s="380"/>
      <c r="AN29" s="380"/>
      <c r="AO29" s="380"/>
      <c r="AP29" s="380"/>
      <c r="AQ29" s="380"/>
      <c r="AR29" s="678">
        <f>MFC!L29</f>
        <v>43003</v>
      </c>
      <c r="AS29" s="678">
        <f>MFC!P29</f>
        <v>43077</v>
      </c>
      <c r="AT29" s="374"/>
      <c r="AU29" s="374"/>
      <c r="AV29" s="374"/>
      <c r="AW29" s="374"/>
      <c r="AX29" s="374"/>
      <c r="AY29" s="374"/>
      <c r="AZ29" s="374"/>
      <c r="BA29" s="989">
        <v>43046</v>
      </c>
      <c r="BB29" s="989">
        <v>43069</v>
      </c>
      <c r="BC29" s="989">
        <v>43069</v>
      </c>
      <c r="BD29" s="989">
        <v>43076</v>
      </c>
      <c r="BE29" s="374">
        <v>43213</v>
      </c>
      <c r="BF29" s="374">
        <v>43213</v>
      </c>
      <c r="BG29" s="384">
        <f>MFC!Q29</f>
        <v>43178</v>
      </c>
      <c r="BH29" s="728">
        <v>43175</v>
      </c>
      <c r="BI29" s="422">
        <f>MFC!R29</f>
        <v>43206</v>
      </c>
      <c r="BJ29" s="422">
        <f>MFC!U29</f>
        <v>43241</v>
      </c>
      <c r="BK29" s="402">
        <f>MFC!W29</f>
        <v>43252</v>
      </c>
      <c r="BL29" s="402">
        <f>MFC!Y29</f>
        <v>43269</v>
      </c>
      <c r="BM29" s="111"/>
      <c r="BN29" s="111"/>
      <c r="BO29" s="111"/>
      <c r="BP29" s="111"/>
      <c r="BQ29" s="111"/>
      <c r="BR29" s="111"/>
      <c r="BS29" s="111"/>
      <c r="BT29" s="111"/>
      <c r="BU29" s="111"/>
      <c r="BV29" s="111"/>
      <c r="BW29" s="111"/>
      <c r="BX29" s="111"/>
      <c r="BY29" s="111"/>
      <c r="BZ29" s="111"/>
      <c r="CA29" s="111"/>
      <c r="CB29" s="111"/>
      <c r="CC29" s="111"/>
      <c r="CD29" s="111"/>
      <c r="CE29" s="111"/>
      <c r="CF29" s="111"/>
    </row>
    <row r="30" spans="1:85" s="203" customFormat="1" ht="13.5" thickBot="1">
      <c r="A30" s="211">
        <v>29</v>
      </c>
      <c r="B30" s="201"/>
      <c r="C30" s="201"/>
      <c r="D30" s="209" t="s">
        <v>225</v>
      </c>
      <c r="E30" s="363">
        <f>MFC!A30</f>
        <v>0</v>
      </c>
      <c r="F30" s="363">
        <f>MFC!B30</f>
        <v>0</v>
      </c>
      <c r="G30" s="405">
        <f>MFC!C30</f>
        <v>170</v>
      </c>
      <c r="H30" s="365">
        <f>MFC!D30</f>
        <v>0</v>
      </c>
      <c r="I30" s="366" t="str">
        <f>MFC!E30</f>
        <v>089</v>
      </c>
      <c r="J30" s="385" t="s">
        <v>270</v>
      </c>
      <c r="K30" s="368" t="str">
        <f>MFC!F30</f>
        <v>LL9 Release for GU 089</v>
      </c>
      <c r="L30" s="369" t="str">
        <f>MFC!G30</f>
        <v>HcP</v>
      </c>
      <c r="M30" s="370" t="str">
        <f>MFC!H30</f>
        <v>LL09CD</v>
      </c>
      <c r="N30" s="369" t="str">
        <f>MFC!I30</f>
        <v>CJM+S</v>
      </c>
      <c r="O30" s="387">
        <f>MFC!J30</f>
        <v>0</v>
      </c>
      <c r="P30" s="387">
        <f>MFC!K30</f>
        <v>0</v>
      </c>
      <c r="Q30" s="372"/>
      <c r="R30" s="380"/>
      <c r="S30" s="380"/>
      <c r="T30" s="380"/>
      <c r="U30" s="380"/>
      <c r="V30" s="380"/>
      <c r="W30" s="380"/>
      <c r="X30" s="380"/>
      <c r="Y30" s="380"/>
      <c r="Z30" s="380"/>
      <c r="AA30" s="380"/>
      <c r="AB30" s="380"/>
      <c r="AC30" s="380"/>
      <c r="AD30" s="380"/>
      <c r="AE30" s="380"/>
      <c r="AF30" s="380"/>
      <c r="AG30" s="380"/>
      <c r="AH30" s="380"/>
      <c r="AI30" s="380"/>
      <c r="AJ30" s="380"/>
      <c r="AK30" s="380"/>
      <c r="AL30" s="380"/>
      <c r="AM30" s="380"/>
      <c r="AN30" s="380"/>
      <c r="AO30" s="380"/>
      <c r="AP30" s="380"/>
      <c r="AQ30" s="380"/>
      <c r="AR30" s="666">
        <f>MFC!L30</f>
        <v>43174</v>
      </c>
      <c r="AS30" s="665">
        <f>MFC!P30</f>
        <v>43256</v>
      </c>
      <c r="AT30" s="374"/>
      <c r="AU30" s="374"/>
      <c r="AV30" s="374"/>
      <c r="AW30" s="374"/>
      <c r="AX30" s="374"/>
      <c r="AY30" s="374"/>
      <c r="AZ30" s="374"/>
      <c r="BA30" s="374"/>
      <c r="BB30" s="374"/>
      <c r="BC30" s="374"/>
      <c r="BD30" s="374"/>
      <c r="BE30" s="374"/>
      <c r="BF30" s="374"/>
      <c r="BG30" s="384">
        <f>MFC!Q30</f>
        <v>43283</v>
      </c>
      <c r="BH30" s="728" t="s">
        <v>128</v>
      </c>
      <c r="BI30" s="422">
        <f>MFC!R30</f>
        <v>43328</v>
      </c>
      <c r="BJ30" s="404">
        <f>MFC!U30</f>
        <v>43359</v>
      </c>
      <c r="BK30" s="402">
        <f>MFC!W30</f>
        <v>43374</v>
      </c>
      <c r="BL30" s="1073">
        <f>MFC!Y30</f>
        <v>0</v>
      </c>
      <c r="BM30" s="111"/>
      <c r="BN30" s="111"/>
      <c r="BO30" s="111"/>
      <c r="BP30" s="111"/>
      <c r="BQ30" s="111"/>
      <c r="BR30" s="111"/>
      <c r="BS30" s="111"/>
      <c r="BT30" s="111"/>
      <c r="BU30" s="111"/>
      <c r="BV30" s="111"/>
      <c r="BW30" s="111"/>
      <c r="BX30" s="111"/>
      <c r="BY30" s="111"/>
      <c r="BZ30" s="111"/>
      <c r="CA30" s="111"/>
      <c r="CB30" s="111"/>
      <c r="CC30" s="111"/>
      <c r="CD30" s="111"/>
      <c r="CE30" s="111"/>
      <c r="CF30" s="111"/>
    </row>
    <row r="31" spans="1:85" s="206" customFormat="1" ht="13.5" outlineLevel="1" thickBot="1">
      <c r="A31" s="212">
        <v>30</v>
      </c>
      <c r="B31" s="205"/>
      <c r="C31" s="205" t="s">
        <v>225</v>
      </c>
      <c r="D31" s="201" t="s">
        <v>225</v>
      </c>
      <c r="E31" s="466">
        <f>MFC!A31</f>
        <v>0</v>
      </c>
      <c r="F31" s="466">
        <f>MFC!B31</f>
        <v>0</v>
      </c>
      <c r="G31" s="467">
        <f>MFC!C31</f>
        <v>351</v>
      </c>
      <c r="H31" s="528">
        <f>MFC!D31</f>
        <v>0</v>
      </c>
      <c r="I31" s="529" t="str">
        <f>MFC!E31</f>
        <v>089</v>
      </c>
      <c r="J31" s="530" t="s">
        <v>307</v>
      </c>
      <c r="K31" s="496" t="str">
        <f>MFC!F31</f>
        <v>Aut. LS CKD to HcP Jatco 089</v>
      </c>
      <c r="L31" s="472" t="str">
        <f>MFC!G31</f>
        <v>TbP</v>
      </c>
      <c r="M31" s="473" t="str">
        <f>MFC!H31</f>
        <v>LC</v>
      </c>
      <c r="N31" s="472" t="str">
        <f>MFC!I31</f>
        <v>C</v>
      </c>
      <c r="O31" s="474" t="str">
        <f>MFC!J31</f>
        <v>QRCA</v>
      </c>
      <c r="P31" s="474" t="str">
        <f>MFC!K31</f>
        <v>P14-382</v>
      </c>
      <c r="Q31" s="475"/>
      <c r="R31" s="499"/>
      <c r="S31" s="499"/>
      <c r="T31" s="499"/>
      <c r="U31" s="499"/>
      <c r="V31" s="499"/>
      <c r="W31" s="499"/>
      <c r="X31" s="499"/>
      <c r="Y31" s="499"/>
      <c r="Z31" s="499"/>
      <c r="AA31" s="499"/>
      <c r="AB31" s="499"/>
      <c r="AC31" s="499"/>
      <c r="AD31" s="499"/>
      <c r="AE31" s="499"/>
      <c r="AF31" s="499"/>
      <c r="AG31" s="499"/>
      <c r="AH31" s="499"/>
      <c r="AI31" s="499"/>
      <c r="AJ31" s="499"/>
      <c r="AK31" s="499"/>
      <c r="AL31" s="499"/>
      <c r="AM31" s="499"/>
      <c r="AN31" s="499"/>
      <c r="AO31" s="499"/>
      <c r="AP31" s="499"/>
      <c r="AQ31" s="499"/>
      <c r="AR31" s="675">
        <v>42895</v>
      </c>
      <c r="AS31" s="1064">
        <f>MFC!P31</f>
        <v>42618</v>
      </c>
      <c r="AT31" s="477"/>
      <c r="AU31" s="477"/>
      <c r="AV31" s="477"/>
      <c r="AW31" s="477"/>
      <c r="AX31" s="477"/>
      <c r="AY31" s="477"/>
      <c r="AZ31" s="477"/>
      <c r="BA31" s="974">
        <v>42928</v>
      </c>
      <c r="BB31" s="477"/>
      <c r="BC31" s="477"/>
      <c r="BD31" s="477"/>
      <c r="BE31" s="477"/>
      <c r="BF31" s="477"/>
      <c r="BG31" s="1068">
        <f>MFC!Q31</f>
        <v>0</v>
      </c>
      <c r="BH31" s="651" t="s">
        <v>128</v>
      </c>
      <c r="BI31" s="1068">
        <f>MFC!R31</f>
        <v>0</v>
      </c>
      <c r="BJ31" s="1068">
        <f>MFC!U31</f>
        <v>0</v>
      </c>
      <c r="BK31" s="739" t="str">
        <f>MFC!W31</f>
        <v>tbd</v>
      </c>
      <c r="BL31" s="739" t="str">
        <f>MFC!Y31</f>
        <v>tbd</v>
      </c>
      <c r="BM31" s="112"/>
      <c r="BN31" s="112"/>
      <c r="BO31" s="112"/>
      <c r="BP31" s="112"/>
      <c r="BQ31" s="112"/>
      <c r="BR31" s="112"/>
      <c r="BS31" s="112"/>
      <c r="BT31" s="112"/>
      <c r="BU31" s="112"/>
      <c r="BV31" s="112"/>
      <c r="BW31" s="112"/>
      <c r="BX31" s="112"/>
      <c r="BY31" s="112"/>
      <c r="BZ31" s="112"/>
      <c r="CA31" s="112"/>
      <c r="CB31" s="112"/>
      <c r="CC31" s="112"/>
      <c r="CD31" s="112"/>
      <c r="CE31" s="112"/>
      <c r="CF31" s="112"/>
    </row>
    <row r="32" spans="1:85" s="206" customFormat="1" ht="12.75" customHeight="1">
      <c r="A32" s="212">
        <v>31</v>
      </c>
      <c r="B32" s="208"/>
      <c r="C32" s="209" t="s">
        <v>225</v>
      </c>
      <c r="D32" s="480" t="s">
        <v>225</v>
      </c>
      <c r="E32" s="481">
        <f>MFC!A32</f>
        <v>0</v>
      </c>
      <c r="F32" s="481">
        <f>MFC!B32</f>
        <v>0</v>
      </c>
      <c r="G32" s="482">
        <f>MFC!C32</f>
        <v>352</v>
      </c>
      <c r="H32" s="531" t="str">
        <f>MFC!D32</f>
        <v>R</v>
      </c>
      <c r="I32" s="505" t="str">
        <f>MFC!E32</f>
        <v>090</v>
      </c>
      <c r="J32" s="532" t="s">
        <v>271</v>
      </c>
      <c r="K32" s="533" t="str">
        <f>MFC!F32</f>
        <v>Loop AVO LL06 HcP</v>
      </c>
      <c r="L32" s="487" t="str">
        <f>MFC!G32</f>
        <v>HcP</v>
      </c>
      <c r="M32" s="488" t="str">
        <f>MFC!H32</f>
        <v>LL06</v>
      </c>
      <c r="N32" s="487" t="str">
        <f>MFC!I32</f>
        <v>C</v>
      </c>
      <c r="O32" s="534">
        <f>MFC!J32</f>
        <v>0</v>
      </c>
      <c r="P32" s="535" t="str">
        <f>MFC!K32</f>
        <v>P16-630</v>
      </c>
      <c r="Q32" s="490"/>
      <c r="R32" s="490" t="s">
        <v>180</v>
      </c>
      <c r="S32" s="490"/>
      <c r="T32" s="490" t="s">
        <v>231</v>
      </c>
      <c r="U32" s="490" t="s">
        <v>272</v>
      </c>
      <c r="V32" s="490"/>
      <c r="W32" s="490"/>
      <c r="X32" s="490"/>
      <c r="Y32" s="490" t="s">
        <v>257</v>
      </c>
      <c r="Z32" s="490"/>
      <c r="AA32" s="490"/>
      <c r="AB32" s="490"/>
      <c r="AC32" s="490"/>
      <c r="AD32" s="490"/>
      <c r="AE32" s="490"/>
      <c r="AF32" s="490"/>
      <c r="AG32" s="490"/>
      <c r="AH32" s="490"/>
      <c r="AI32" s="490"/>
      <c r="AJ32" s="490"/>
      <c r="AK32" s="490"/>
      <c r="AL32" s="490"/>
      <c r="AM32" s="490"/>
      <c r="AN32" s="490"/>
      <c r="AO32" s="490"/>
      <c r="AP32" s="490"/>
      <c r="AQ32" s="490"/>
      <c r="AR32" s="667">
        <f>MFC!L32</f>
        <v>42704</v>
      </c>
      <c r="AS32" s="667">
        <f>MFC!P32</f>
        <v>42787</v>
      </c>
      <c r="AT32" s="491"/>
      <c r="AU32" s="491"/>
      <c r="AV32" s="491"/>
      <c r="AW32" s="491"/>
      <c r="AX32" s="491"/>
      <c r="AY32" s="491"/>
      <c r="AZ32" s="491"/>
      <c r="BA32" s="491"/>
      <c r="BB32" s="491">
        <v>42846</v>
      </c>
      <c r="BC32" s="491">
        <v>42846</v>
      </c>
      <c r="BD32" s="491">
        <v>42865</v>
      </c>
      <c r="BE32" s="491">
        <v>42879</v>
      </c>
      <c r="BF32" s="491">
        <v>42879</v>
      </c>
      <c r="BG32" s="493">
        <f>MFC!Q32</f>
        <v>42751</v>
      </c>
      <c r="BH32" s="730" t="s">
        <v>349</v>
      </c>
      <c r="BI32" s="536">
        <f>MFC!R32</f>
        <v>42846</v>
      </c>
      <c r="BJ32" s="493">
        <f>MFC!U32</f>
        <v>42892</v>
      </c>
      <c r="BK32" s="494">
        <f>MFC!W32</f>
        <v>42898</v>
      </c>
      <c r="BL32" s="494">
        <f>MFC!Y32</f>
        <v>42898</v>
      </c>
      <c r="BM32" s="111"/>
      <c r="BN32" s="111"/>
      <c r="BO32" s="111"/>
      <c r="BP32" s="111"/>
      <c r="BQ32" s="111"/>
      <c r="BR32" s="111"/>
      <c r="BS32" s="111"/>
      <c r="BT32" s="111"/>
      <c r="BU32" s="111"/>
      <c r="BV32" s="111"/>
      <c r="BW32" s="111"/>
      <c r="BX32" s="111">
        <v>42818</v>
      </c>
      <c r="BY32" s="111"/>
      <c r="BZ32" s="111"/>
      <c r="CA32" s="111"/>
      <c r="CB32" s="111"/>
      <c r="CC32" s="111"/>
      <c r="CD32" s="111"/>
      <c r="CE32" s="111"/>
      <c r="CF32" s="111"/>
    </row>
    <row r="33" spans="1:85" s="206" customFormat="1">
      <c r="A33" s="212">
        <v>32</v>
      </c>
      <c r="B33" s="209"/>
      <c r="C33" s="209"/>
      <c r="D33" s="209" t="s">
        <v>225</v>
      </c>
      <c r="E33" s="363">
        <f>MFC!A33</f>
        <v>0</v>
      </c>
      <c r="F33" s="363">
        <f>MFC!B33</f>
        <v>0</v>
      </c>
      <c r="G33" s="364">
        <f>MFC!C33</f>
        <v>113</v>
      </c>
      <c r="H33" s="377" t="str">
        <f>MFC!D33</f>
        <v>R</v>
      </c>
      <c r="I33" s="366" t="str">
        <f>MFC!E33</f>
        <v>090</v>
      </c>
      <c r="J33" s="367" t="s">
        <v>273</v>
      </c>
      <c r="K33" s="414" t="str">
        <f>MFC!F33</f>
        <v>Nippon Phase 3 AVO</v>
      </c>
      <c r="L33" s="369" t="str">
        <f>MFC!G33</f>
        <v>HcP</v>
      </c>
      <c r="M33" s="370" t="str">
        <f>MFC!H33</f>
        <v>EL</v>
      </c>
      <c r="N33" s="369" t="str">
        <f>MFC!I33</f>
        <v>C</v>
      </c>
      <c r="O33" s="371" t="str">
        <f>MFC!J33</f>
        <v>QRCA?</v>
      </c>
      <c r="P33" s="371" t="str">
        <f>MFC!K33</f>
        <v>P16-435</v>
      </c>
      <c r="Q33" s="372" t="s">
        <v>274</v>
      </c>
      <c r="R33" s="381" t="s">
        <v>247</v>
      </c>
      <c r="S33" s="417"/>
      <c r="T33" s="417"/>
      <c r="U33" s="380" t="s">
        <v>266</v>
      </c>
      <c r="V33" s="380"/>
      <c r="W33" s="391"/>
      <c r="X33" s="391"/>
      <c r="Y33" s="380" t="s">
        <v>237</v>
      </c>
      <c r="Z33" s="392" t="s">
        <v>232</v>
      </c>
      <c r="AA33" s="380"/>
      <c r="AB33" s="380"/>
      <c r="AC33" s="380"/>
      <c r="AD33" s="392" t="s">
        <v>248</v>
      </c>
      <c r="AE33" s="380"/>
      <c r="AF33" s="380"/>
      <c r="AG33" s="380"/>
      <c r="AH33" s="392" t="s">
        <v>257</v>
      </c>
      <c r="AI33" s="380"/>
      <c r="AJ33" s="380"/>
      <c r="AK33" s="380"/>
      <c r="AL33" s="380"/>
      <c r="AM33" s="380"/>
      <c r="AN33" s="380"/>
      <c r="AO33" s="380"/>
      <c r="AP33" s="380"/>
      <c r="AQ33" s="380"/>
      <c r="AR33" s="780">
        <f>MFC!L33</f>
        <v>42655</v>
      </c>
      <c r="AS33" s="780">
        <f>MFC!P33</f>
        <v>42689</v>
      </c>
      <c r="AT33" s="781"/>
      <c r="AU33" s="781"/>
      <c r="AV33" s="781"/>
      <c r="AW33" s="781"/>
      <c r="AX33" s="781"/>
      <c r="AY33" s="781"/>
      <c r="AZ33" s="781"/>
      <c r="BA33" s="781"/>
      <c r="BB33" s="781">
        <v>42852</v>
      </c>
      <c r="BC33" s="782">
        <v>42852</v>
      </c>
      <c r="BD33" s="782">
        <v>42866</v>
      </c>
      <c r="BE33" s="782">
        <v>42915</v>
      </c>
      <c r="BF33" s="782">
        <v>42915</v>
      </c>
      <c r="BG33" s="778">
        <f>MFC!Q33</f>
        <v>42814</v>
      </c>
      <c r="BH33" s="783">
        <v>42871</v>
      </c>
      <c r="BI33" s="783">
        <f>MFC!R33</f>
        <v>42899</v>
      </c>
      <c r="BJ33" s="778">
        <f>MFC!U33</f>
        <v>42948</v>
      </c>
      <c r="BK33" s="779">
        <f>MFC!W33</f>
        <v>42979</v>
      </c>
      <c r="BL33" s="779">
        <f>MFC!Y33</f>
        <v>42993</v>
      </c>
      <c r="BM33" s="111"/>
      <c r="BN33" s="111"/>
      <c r="BO33" s="111"/>
      <c r="BP33" s="111"/>
      <c r="BQ33" s="111"/>
      <c r="BR33" s="111"/>
      <c r="BS33" s="111"/>
      <c r="BT33" s="111"/>
      <c r="BU33" s="111"/>
      <c r="BV33" s="111"/>
      <c r="BW33" s="111"/>
      <c r="BX33" s="111"/>
      <c r="BY33" s="111"/>
      <c r="BZ33" s="111"/>
      <c r="CA33" s="111"/>
      <c r="CB33" s="111"/>
      <c r="CC33" s="111"/>
      <c r="CD33" s="111"/>
      <c r="CE33" s="111"/>
      <c r="CF33" s="111"/>
    </row>
    <row r="34" spans="1:85" s="229" customFormat="1" ht="13.5" thickBot="1">
      <c r="A34" s="211">
        <v>33</v>
      </c>
      <c r="B34" s="201"/>
      <c r="C34" s="201"/>
      <c r="D34" s="202"/>
      <c r="E34" s="537">
        <f>MFC!A34</f>
        <v>0</v>
      </c>
      <c r="F34" s="537">
        <f>MFC!B34</f>
        <v>0</v>
      </c>
      <c r="G34" s="538">
        <f>MFC!C34</f>
        <v>292</v>
      </c>
      <c r="H34" s="539">
        <f>MFC!D34</f>
        <v>0</v>
      </c>
      <c r="I34" s="540" t="str">
        <f>MFC!E34</f>
        <v>090</v>
      </c>
      <c r="J34" s="541" t="s">
        <v>275</v>
      </c>
      <c r="K34" s="542" t="str">
        <f>MFC!F34</f>
        <v>Element line 6 for AVO [SOP tbd]</v>
      </c>
      <c r="L34" s="543" t="str">
        <f>MFC!G34</f>
        <v>HcP</v>
      </c>
      <c r="M34" s="544" t="str">
        <f>MFC!H34</f>
        <v>EL06</v>
      </c>
      <c r="N34" s="543" t="str">
        <f>MFC!I34</f>
        <v>C</v>
      </c>
      <c r="O34" s="545">
        <f>MFC!J34</f>
        <v>0</v>
      </c>
      <c r="P34" s="545">
        <f>MFC!K34</f>
        <v>0</v>
      </c>
      <c r="Q34" s="475"/>
      <c r="R34" s="475"/>
      <c r="S34" s="475"/>
      <c r="T34" s="475"/>
      <c r="U34" s="475"/>
      <c r="V34" s="475"/>
      <c r="W34" s="475"/>
      <c r="X34" s="475"/>
      <c r="Y34" s="475"/>
      <c r="Z34" s="475"/>
      <c r="AA34" s="475"/>
      <c r="AB34" s="475"/>
      <c r="AC34" s="475"/>
      <c r="AD34" s="475"/>
      <c r="AE34" s="475"/>
      <c r="AF34" s="475"/>
      <c r="AG34" s="475"/>
      <c r="AH34" s="475"/>
      <c r="AI34" s="475"/>
      <c r="AJ34" s="475"/>
      <c r="AK34" s="475"/>
      <c r="AL34" s="475"/>
      <c r="AM34" s="475"/>
      <c r="AN34" s="475"/>
      <c r="AO34" s="475"/>
      <c r="AP34" s="475"/>
      <c r="AQ34" s="475"/>
      <c r="AR34" s="668" t="str">
        <f>MFC!L34</f>
        <v>tbd</v>
      </c>
      <c r="AS34" s="668" t="str">
        <f>MFC!P34</f>
        <v>tbd</v>
      </c>
      <c r="AT34" s="476"/>
      <c r="AU34" s="476"/>
      <c r="AV34" s="476"/>
      <c r="AW34" s="476"/>
      <c r="AX34" s="476"/>
      <c r="AY34" s="476"/>
      <c r="AZ34" s="476"/>
      <c r="BA34" s="476"/>
      <c r="BB34" s="476"/>
      <c r="BC34" s="476"/>
      <c r="BD34" s="476"/>
      <c r="BE34" s="476"/>
      <c r="BF34" s="476"/>
      <c r="BG34" s="546">
        <f>MFC!Q34</f>
        <v>0</v>
      </c>
      <c r="BH34" s="729" t="s">
        <v>349</v>
      </c>
      <c r="BI34" s="546">
        <f>MFC!R34</f>
        <v>0</v>
      </c>
      <c r="BJ34" s="546">
        <f>MFC!U34</f>
        <v>0</v>
      </c>
      <c r="BK34" s="547">
        <f>MFC!W34</f>
        <v>43281</v>
      </c>
      <c r="BL34" s="547">
        <f>MFC!Y34</f>
        <v>0</v>
      </c>
      <c r="BM34" s="228"/>
      <c r="BN34" s="228"/>
      <c r="BO34" s="228"/>
      <c r="BP34" s="228"/>
      <c r="BQ34" s="228"/>
      <c r="BR34" s="228"/>
      <c r="BS34" s="228"/>
      <c r="BT34" s="228"/>
      <c r="BU34" s="228"/>
      <c r="BV34" s="228"/>
      <c r="BW34" s="228"/>
      <c r="BX34" s="228"/>
      <c r="BY34" s="228"/>
      <c r="BZ34" s="228"/>
      <c r="CA34" s="228"/>
      <c r="CB34" s="228"/>
      <c r="CC34" s="228"/>
      <c r="CD34" s="228"/>
      <c r="CE34" s="228"/>
      <c r="CF34" s="228"/>
    </row>
    <row r="35" spans="1:85" s="206" customFormat="1">
      <c r="A35" s="212">
        <v>34</v>
      </c>
      <c r="B35" s="205"/>
      <c r="C35" s="205"/>
      <c r="D35" s="480" t="s">
        <v>225</v>
      </c>
      <c r="E35" s="481">
        <f>MFC!A35</f>
        <v>0</v>
      </c>
      <c r="F35" s="481">
        <f>MFC!B35</f>
        <v>0</v>
      </c>
      <c r="G35" s="548">
        <f>MFC!C35</f>
        <v>168</v>
      </c>
      <c r="H35" s="531">
        <f>MFC!D35</f>
        <v>43157</v>
      </c>
      <c r="I35" s="484" t="str">
        <f>MFC!E35</f>
        <v>093</v>
      </c>
      <c r="J35" s="514" t="s">
        <v>276</v>
      </c>
      <c r="K35" s="533" t="str">
        <f>MFC!F35</f>
        <v>AFB 2810GU EL TbP</v>
      </c>
      <c r="L35" s="487" t="str">
        <f>MFC!G35</f>
        <v>TbP</v>
      </c>
      <c r="M35" s="488" t="str">
        <f>MFC!H35</f>
        <v>EL</v>
      </c>
      <c r="N35" s="487" t="str">
        <f>MFC!I35</f>
        <v>M</v>
      </c>
      <c r="O35" s="508" t="str">
        <f>MFC!J35</f>
        <v>FPDR</v>
      </c>
      <c r="P35" s="508" t="str">
        <f>MFC!K35</f>
        <v>P16-waiting..</v>
      </c>
      <c r="Q35" s="490"/>
      <c r="R35" s="516"/>
      <c r="S35" s="516"/>
      <c r="T35" s="516"/>
      <c r="U35" s="516"/>
      <c r="V35" s="516"/>
      <c r="W35" s="516"/>
      <c r="X35" s="516"/>
      <c r="Y35" s="516"/>
      <c r="Z35" s="516"/>
      <c r="AA35" s="516"/>
      <c r="AB35" s="516"/>
      <c r="AC35" s="516"/>
      <c r="AD35" s="516"/>
      <c r="AE35" s="516"/>
      <c r="AF35" s="516"/>
      <c r="AG35" s="516"/>
      <c r="AH35" s="516"/>
      <c r="AI35" s="516"/>
      <c r="AJ35" s="516"/>
      <c r="AK35" s="516"/>
      <c r="AL35" s="516"/>
      <c r="AM35" s="516"/>
      <c r="AN35" s="516"/>
      <c r="AO35" s="516"/>
      <c r="AP35" s="516"/>
      <c r="AQ35" s="516"/>
      <c r="AR35" s="669" t="str">
        <f>MFC!L35</f>
        <v>na</v>
      </c>
      <c r="AS35" s="669" t="str">
        <f>MFC!P35</f>
        <v>na</v>
      </c>
      <c r="AT35" s="491" t="s">
        <v>277</v>
      </c>
      <c r="AU35" s="491" t="s">
        <v>277</v>
      </c>
      <c r="AV35" s="492"/>
      <c r="AW35" s="1066">
        <v>43028</v>
      </c>
      <c r="AX35" s="1066">
        <v>43081</v>
      </c>
      <c r="AY35" s="492"/>
      <c r="AZ35" s="491"/>
      <c r="BA35" s="549"/>
      <c r="BB35" s="1024"/>
      <c r="BC35" s="1024"/>
      <c r="BD35" s="1024"/>
      <c r="BE35" s="727"/>
      <c r="BF35" s="727"/>
      <c r="BG35" s="1069">
        <f>MFC!Q35</f>
        <v>0</v>
      </c>
      <c r="BH35" s="648">
        <v>43160</v>
      </c>
      <c r="BI35" s="1070">
        <f>MFC!R35</f>
        <v>0</v>
      </c>
      <c r="BJ35" s="1070">
        <f>MFC!U35</f>
        <v>0</v>
      </c>
      <c r="BK35" s="649">
        <f>MFC!W35</f>
        <v>43449</v>
      </c>
      <c r="BL35" s="649">
        <f>MFC!Y35</f>
        <v>43495</v>
      </c>
      <c r="BM35" s="228"/>
      <c r="BN35" s="228"/>
      <c r="BO35" s="228"/>
      <c r="BP35" s="228"/>
      <c r="BQ35" s="228"/>
      <c r="BR35" s="228"/>
      <c r="BS35" s="228"/>
      <c r="BT35" s="228"/>
      <c r="BU35" s="228"/>
      <c r="BV35" s="228"/>
      <c r="BW35" s="228"/>
      <c r="BX35" s="228"/>
      <c r="BY35" s="228"/>
      <c r="BZ35" s="228"/>
      <c r="CA35" s="228"/>
      <c r="CB35" s="228"/>
      <c r="CC35" s="228"/>
      <c r="CD35" s="228"/>
      <c r="CE35" s="228"/>
      <c r="CF35" s="228"/>
    </row>
    <row r="36" spans="1:85" s="203" customFormat="1" ht="13.5" thickBot="1">
      <c r="A36" s="211">
        <v>35</v>
      </c>
      <c r="B36" s="201"/>
      <c r="C36" s="201"/>
      <c r="D36" s="201"/>
      <c r="E36" s="466">
        <f>MFC!A36</f>
        <v>0</v>
      </c>
      <c r="F36" s="466">
        <f>MFC!B36</f>
        <v>0</v>
      </c>
      <c r="G36" s="550">
        <f>MFC!C36</f>
        <v>390</v>
      </c>
      <c r="H36" s="468">
        <f>MFC!D36</f>
        <v>0</v>
      </c>
      <c r="I36" s="469" t="str">
        <f>MFC!E36</f>
        <v>093</v>
      </c>
      <c r="J36" s="510" t="s">
        <v>278</v>
      </c>
      <c r="K36" s="471" t="str">
        <f>MFC!F36</f>
        <v>AFB 2810GU AL TbP</v>
      </c>
      <c r="L36" s="472" t="str">
        <f>MFC!G36</f>
        <v>TbP</v>
      </c>
      <c r="M36" s="473" t="str">
        <f>MFC!H36</f>
        <v>AL</v>
      </c>
      <c r="N36" s="472" t="str">
        <f>MFC!I36</f>
        <v>M</v>
      </c>
      <c r="O36" s="498" t="str">
        <f>MFC!J36</f>
        <v>FPDR</v>
      </c>
      <c r="P36" s="498" t="str">
        <f>MFC!K36</f>
        <v>New Design</v>
      </c>
      <c r="Q36" s="475"/>
      <c r="R36" s="551"/>
      <c r="S36" s="551"/>
      <c r="T36" s="551"/>
      <c r="U36" s="551"/>
      <c r="V36" s="551"/>
      <c r="W36" s="551"/>
      <c r="X36" s="551"/>
      <c r="Y36" s="551"/>
      <c r="Z36" s="551"/>
      <c r="AA36" s="551"/>
      <c r="AB36" s="551"/>
      <c r="AC36" s="551"/>
      <c r="AD36" s="551"/>
      <c r="AE36" s="551"/>
      <c r="AF36" s="551"/>
      <c r="AG36" s="551"/>
      <c r="AH36" s="551"/>
      <c r="AI36" s="551"/>
      <c r="AJ36" s="551"/>
      <c r="AK36" s="551"/>
      <c r="AL36" s="551"/>
      <c r="AM36" s="551"/>
      <c r="AN36" s="551"/>
      <c r="AO36" s="551"/>
      <c r="AP36" s="551"/>
      <c r="AQ36" s="551"/>
      <c r="AR36" s="670" t="str">
        <f>MFC!L36</f>
        <v>n.a</v>
      </c>
      <c r="AS36" s="670" t="str">
        <f>MFC!P36</f>
        <v>n.a</v>
      </c>
      <c r="AT36" s="552" t="s">
        <v>277</v>
      </c>
      <c r="AU36" s="552" t="s">
        <v>277</v>
      </c>
      <c r="AV36" s="552"/>
      <c r="AW36" s="552"/>
      <c r="AX36" s="552"/>
      <c r="AY36" s="552"/>
      <c r="AZ36" s="552"/>
      <c r="BA36" s="552"/>
      <c r="BB36" s="552"/>
      <c r="BC36" s="552"/>
      <c r="BD36" s="552"/>
      <c r="BE36" s="552"/>
      <c r="BF36" s="552"/>
      <c r="BG36" s="553">
        <f>MFC!Q36</f>
        <v>0</v>
      </c>
      <c r="BH36" s="732" t="s">
        <v>351</v>
      </c>
      <c r="BI36" s="553">
        <f>MFC!R36</f>
        <v>0</v>
      </c>
      <c r="BJ36" s="553">
        <f>MFC!U36</f>
        <v>0</v>
      </c>
      <c r="BK36" s="554">
        <f>MFC!W36</f>
        <v>43449</v>
      </c>
      <c r="BL36" s="554">
        <f>MFC!Y36</f>
        <v>43495</v>
      </c>
      <c r="BM36" s="111"/>
      <c r="BN36" s="111"/>
      <c r="BO36" s="111"/>
      <c r="BP36" s="111"/>
      <c r="BQ36" s="111"/>
      <c r="BR36" s="111"/>
      <c r="BS36" s="111"/>
      <c r="BT36" s="111"/>
      <c r="BU36" s="111"/>
      <c r="BV36" s="111"/>
      <c r="BW36" s="111"/>
      <c r="BX36" s="111"/>
      <c r="BY36" s="111"/>
      <c r="BZ36" s="111"/>
      <c r="CA36" s="111"/>
      <c r="CB36" s="111"/>
      <c r="CC36" s="111"/>
      <c r="CD36" s="111"/>
      <c r="CE36" s="111"/>
      <c r="CF36" s="111"/>
    </row>
    <row r="37" spans="1:85" s="227" customFormat="1">
      <c r="A37" s="224">
        <v>36</v>
      </c>
      <c r="B37" s="230"/>
      <c r="C37" s="230"/>
      <c r="D37" s="555"/>
      <c r="E37" s="556">
        <f>MFC!A37</f>
        <v>0</v>
      </c>
      <c r="F37" s="556">
        <f>MFC!B37</f>
        <v>0</v>
      </c>
      <c r="G37" s="557">
        <f>MFC!C37</f>
        <v>180</v>
      </c>
      <c r="H37" s="558">
        <f>MFC!D37</f>
        <v>0</v>
      </c>
      <c r="I37" s="559" t="str">
        <f>MFC!E37</f>
        <v>094</v>
      </c>
      <c r="J37" s="560" t="s">
        <v>279</v>
      </c>
      <c r="K37" s="561" t="str">
        <f>MFC!F37</f>
        <v>GU light 094 AVO LL07</v>
      </c>
      <c r="L37" s="562" t="str">
        <f>MFC!G37</f>
        <v>HcP</v>
      </c>
      <c r="M37" s="563" t="str">
        <f>MFC!H37</f>
        <v>LL07</v>
      </c>
      <c r="N37" s="562" t="str">
        <f>MFC!I37</f>
        <v>CM</v>
      </c>
      <c r="O37" s="564">
        <f>MFC!J37</f>
        <v>0</v>
      </c>
      <c r="P37" s="564">
        <f>MFC!K37</f>
        <v>0</v>
      </c>
      <c r="Q37" s="490"/>
      <c r="R37" s="490"/>
      <c r="S37" s="490"/>
      <c r="T37" s="490"/>
      <c r="U37" s="490"/>
      <c r="V37" s="490"/>
      <c r="W37" s="490"/>
      <c r="X37" s="490"/>
      <c r="Y37" s="490"/>
      <c r="Z37" s="490"/>
      <c r="AA37" s="490" t="s">
        <v>243</v>
      </c>
      <c r="AB37" s="490"/>
      <c r="AC37" s="490"/>
      <c r="AD37" s="490"/>
      <c r="AE37" s="490"/>
      <c r="AF37" s="490"/>
      <c r="AG37" s="490"/>
      <c r="AH37" s="490"/>
      <c r="AI37" s="490"/>
      <c r="AJ37" s="490"/>
      <c r="AK37" s="490"/>
      <c r="AL37" s="490"/>
      <c r="AM37" s="490"/>
      <c r="AN37" s="490"/>
      <c r="AO37" s="490"/>
      <c r="AP37" s="490"/>
      <c r="AQ37" s="490"/>
      <c r="AR37" s="671" t="str">
        <f>MFC!L37</f>
        <v>n.a</v>
      </c>
      <c r="AS37" s="671" t="str">
        <f>MFC!P37</f>
        <v>n.a</v>
      </c>
      <c r="AT37" s="491"/>
      <c r="AU37" s="491"/>
      <c r="AV37" s="491"/>
      <c r="AW37" s="491"/>
      <c r="AX37" s="491"/>
      <c r="AY37" s="491"/>
      <c r="AZ37" s="491"/>
      <c r="BA37" s="491"/>
      <c r="BB37" s="491"/>
      <c r="BC37" s="491"/>
      <c r="BD37" s="491"/>
      <c r="BE37" s="491"/>
      <c r="BF37" s="491"/>
      <c r="BG37" s="565">
        <f>MFC!Q37</f>
        <v>42931</v>
      </c>
      <c r="BH37" s="730" t="s">
        <v>349</v>
      </c>
      <c r="BI37" s="565">
        <f>MFC!R37</f>
        <v>42993</v>
      </c>
      <c r="BJ37" s="565">
        <f>MFC!U37</f>
        <v>43100</v>
      </c>
      <c r="BK37" s="566">
        <f>MFC!W37</f>
        <v>43191</v>
      </c>
      <c r="BL37" s="566">
        <f>MFC!Y37</f>
        <v>43252</v>
      </c>
      <c r="BM37" s="228"/>
      <c r="BN37" s="228"/>
      <c r="BO37" s="228"/>
      <c r="BP37" s="228"/>
      <c r="BQ37" s="228"/>
      <c r="BR37" s="228"/>
      <c r="BS37" s="228"/>
      <c r="BT37" s="228"/>
      <c r="BU37" s="228"/>
      <c r="BV37" s="228"/>
      <c r="BW37" s="228"/>
      <c r="BX37" s="228"/>
      <c r="BY37" s="228"/>
      <c r="BZ37" s="228"/>
      <c r="CA37" s="228"/>
      <c r="CB37" s="228"/>
      <c r="CC37" s="228"/>
      <c r="CD37" s="228"/>
      <c r="CE37" s="228"/>
      <c r="CF37" s="228"/>
    </row>
    <row r="38" spans="1:85" s="203" customFormat="1" ht="12.95" customHeight="1" outlineLevel="1" thickBot="1">
      <c r="A38" s="212">
        <v>37</v>
      </c>
      <c r="B38" s="209"/>
      <c r="C38" s="209"/>
      <c r="D38" s="201" t="s">
        <v>225</v>
      </c>
      <c r="E38" s="466">
        <f>MFC!A38</f>
        <v>0</v>
      </c>
      <c r="F38" s="466">
        <f>MFC!B38</f>
        <v>0</v>
      </c>
      <c r="G38" s="467">
        <f>MFC!C38</f>
        <v>270</v>
      </c>
      <c r="H38" s="528">
        <f>MFC!D38</f>
        <v>0</v>
      </c>
      <c r="I38" s="567" t="str">
        <f>MFC!E38</f>
        <v>094</v>
      </c>
      <c r="J38" s="568" t="s">
        <v>331</v>
      </c>
      <c r="K38" s="471" t="str">
        <f>MFC!F38</f>
        <v>GU light 094 AVO AL HcP</v>
      </c>
      <c r="L38" s="472" t="str">
        <f>MFC!G38</f>
        <v>HcP</v>
      </c>
      <c r="M38" s="473" t="str">
        <f>MFC!H38</f>
        <v>AL</v>
      </c>
      <c r="N38" s="472" t="str">
        <f>MFC!I38</f>
        <v>CM</v>
      </c>
      <c r="O38" s="545"/>
      <c r="P38" s="545"/>
      <c r="Q38" s="475"/>
      <c r="R38" s="499"/>
      <c r="S38" s="499"/>
      <c r="T38" s="499"/>
      <c r="U38" s="499"/>
      <c r="V38" s="499"/>
      <c r="W38" s="499"/>
      <c r="X38" s="499"/>
      <c r="Y38" s="499"/>
      <c r="Z38" s="499"/>
      <c r="AA38" s="499"/>
      <c r="AB38" s="499"/>
      <c r="AC38" s="499"/>
      <c r="AD38" s="499"/>
      <c r="AE38" s="499"/>
      <c r="AF38" s="499"/>
      <c r="AG38" s="499"/>
      <c r="AH38" s="499"/>
      <c r="AI38" s="499"/>
      <c r="AJ38" s="499"/>
      <c r="AK38" s="499"/>
      <c r="AL38" s="499"/>
      <c r="AM38" s="499"/>
      <c r="AN38" s="499"/>
      <c r="AO38" s="499"/>
      <c r="AP38" s="499"/>
      <c r="AQ38" s="499"/>
      <c r="AR38" s="570" t="str">
        <f>MFC!L38</f>
        <v>na</v>
      </c>
      <c r="AS38" s="570" t="str">
        <f>MFC!P38</f>
        <v>na</v>
      </c>
      <c r="AT38" s="477"/>
      <c r="AU38" s="477"/>
      <c r="AV38" s="477"/>
      <c r="AW38" s="477"/>
      <c r="AX38" s="477"/>
      <c r="AY38" s="477"/>
      <c r="AZ38" s="477"/>
      <c r="BA38" s="477"/>
      <c r="BB38" s="974">
        <v>43060</v>
      </c>
      <c r="BC38" s="974">
        <v>43060</v>
      </c>
      <c r="BD38" s="974">
        <v>43068</v>
      </c>
      <c r="BE38" s="989">
        <v>43082</v>
      </c>
      <c r="BF38" s="1049"/>
      <c r="BG38" s="1048">
        <f>MFC!Q38</f>
        <v>43082</v>
      </c>
      <c r="BH38" s="733"/>
      <c r="BI38" s="570">
        <f>MFC!R38</f>
        <v>43171</v>
      </c>
      <c r="BJ38" s="569">
        <f>MFC!U38</f>
        <v>43185</v>
      </c>
      <c r="BK38" s="513">
        <f>MFC!W38</f>
        <v>43497</v>
      </c>
      <c r="BL38" s="513">
        <f>MFC!Y38</f>
        <v>43497</v>
      </c>
      <c r="BM38" s="231"/>
      <c r="BN38" s="231"/>
      <c r="BO38" s="231"/>
      <c r="BP38" s="231"/>
      <c r="BQ38" s="231"/>
      <c r="BR38" s="231"/>
      <c r="BS38" s="231"/>
      <c r="BT38" s="231"/>
      <c r="BU38" s="231"/>
      <c r="BV38" s="231"/>
      <c r="BW38" s="231"/>
      <c r="BX38" s="231"/>
      <c r="BY38" s="231"/>
      <c r="BZ38" s="231"/>
      <c r="CA38" s="231"/>
      <c r="CB38" s="231"/>
      <c r="CC38" s="231"/>
      <c r="CD38" s="231"/>
      <c r="CE38" s="231"/>
      <c r="CF38" s="231"/>
    </row>
    <row r="39" spans="1:85" s="206" customFormat="1">
      <c r="A39" s="212">
        <v>38</v>
      </c>
      <c r="B39" s="209"/>
      <c r="C39" s="209"/>
      <c r="D39" s="480" t="s">
        <v>225</v>
      </c>
      <c r="E39" s="481">
        <f>MFC!A39</f>
        <v>0</v>
      </c>
      <c r="F39" s="481">
        <f>MFC!B39</f>
        <v>0</v>
      </c>
      <c r="G39" s="548">
        <f>MFC!C39</f>
        <v>186</v>
      </c>
      <c r="H39" s="531">
        <f>MFC!D39</f>
        <v>0</v>
      </c>
      <c r="I39" s="571" t="str">
        <f>MFC!E39</f>
        <v>097</v>
      </c>
      <c r="J39" s="514" t="s">
        <v>332</v>
      </c>
      <c r="K39" s="533" t="str">
        <f>MFC!F39</f>
        <v>Appl. Jatco AZO K-car</v>
      </c>
      <c r="L39" s="487" t="str">
        <f>MFC!G39</f>
        <v>HcP</v>
      </c>
      <c r="M39" s="488" t="str">
        <f>MFC!H39</f>
        <v>AL</v>
      </c>
      <c r="N39" s="487" t="str">
        <f>MFC!I39</f>
        <v>J</v>
      </c>
      <c r="O39" s="508" t="str">
        <f>MFC!J39</f>
        <v>FPDR</v>
      </c>
      <c r="P39" s="572" t="str">
        <f>MFC!K39</f>
        <v>see 82</v>
      </c>
      <c r="Q39" s="490"/>
      <c r="R39" s="516"/>
      <c r="S39" s="516"/>
      <c r="T39" s="516"/>
      <c r="U39" s="516"/>
      <c r="V39" s="516"/>
      <c r="W39" s="516"/>
      <c r="X39" s="516"/>
      <c r="Y39" s="516"/>
      <c r="Z39" s="516"/>
      <c r="AA39" s="516"/>
      <c r="AB39" s="516"/>
      <c r="AC39" s="516"/>
      <c r="AD39" s="516"/>
      <c r="AE39" s="516"/>
      <c r="AF39" s="516"/>
      <c r="AG39" s="516"/>
      <c r="AH39" s="516"/>
      <c r="AI39" s="516"/>
      <c r="AJ39" s="516"/>
      <c r="AK39" s="516"/>
      <c r="AL39" s="516"/>
      <c r="AM39" s="516"/>
      <c r="AN39" s="516"/>
      <c r="AO39" s="516"/>
      <c r="AP39" s="516"/>
      <c r="AQ39" s="516"/>
      <c r="AR39" s="672" t="str">
        <f>MFC!L39</f>
        <v>n.a</v>
      </c>
      <c r="AS39" s="672" t="str">
        <f>MFC!P39</f>
        <v>n.a</v>
      </c>
      <c r="AT39" s="982" t="s">
        <v>336</v>
      </c>
      <c r="AU39" s="982" t="s">
        <v>336</v>
      </c>
      <c r="AV39" s="982" t="s">
        <v>336</v>
      </c>
      <c r="AW39" s="492"/>
      <c r="AX39" s="492"/>
      <c r="AY39" s="492"/>
      <c r="AZ39" s="492"/>
      <c r="BA39" s="982" t="s">
        <v>336</v>
      </c>
      <c r="BB39" s="982" t="s">
        <v>334</v>
      </c>
      <c r="BC39" s="989" t="s">
        <v>334</v>
      </c>
      <c r="BD39" s="989">
        <v>42944</v>
      </c>
      <c r="BE39" s="1004">
        <v>43054</v>
      </c>
      <c r="BF39" s="492"/>
      <c r="BG39" s="1070">
        <f>MFC!Q39</f>
        <v>43129</v>
      </c>
      <c r="BH39" s="648">
        <v>43237</v>
      </c>
      <c r="BI39" s="573">
        <f>MFC!R39</f>
        <v>43227</v>
      </c>
      <c r="BJ39" s="573">
        <f>MFC!U39</f>
        <v>43251</v>
      </c>
      <c r="BK39" s="520">
        <f>MFC!W39</f>
        <v>43388</v>
      </c>
      <c r="BL39" s="520">
        <f>MFC!Y39</f>
        <v>43419</v>
      </c>
      <c r="BM39" s="228"/>
      <c r="BN39" s="228"/>
      <c r="BO39" s="228"/>
      <c r="BP39" s="228"/>
      <c r="BQ39" s="228"/>
      <c r="BR39" s="228"/>
      <c r="BS39" s="228"/>
      <c r="BT39" s="228"/>
      <c r="BU39" s="228"/>
      <c r="BV39" s="228"/>
      <c r="BW39" s="228"/>
      <c r="BX39" s="228"/>
      <c r="BY39" s="228"/>
      <c r="BZ39" s="228"/>
      <c r="CA39" s="228"/>
      <c r="CB39" s="228"/>
      <c r="CC39" s="228"/>
      <c r="CD39" s="228"/>
      <c r="CE39" s="228"/>
      <c r="CF39" s="228"/>
    </row>
    <row r="40" spans="1:85" s="206" customFormat="1" outlineLevel="1">
      <c r="A40" s="212">
        <v>39</v>
      </c>
      <c r="B40" s="209"/>
      <c r="C40" s="209"/>
      <c r="D40" s="210"/>
      <c r="E40" s="363">
        <f>MFC!A40</f>
        <v>0</v>
      </c>
      <c r="F40" s="363">
        <f>MFC!B40</f>
        <v>0</v>
      </c>
      <c r="G40" s="405">
        <f>MFC!C40</f>
        <v>237</v>
      </c>
      <c r="H40" s="365">
        <f>MFC!D40</f>
        <v>0</v>
      </c>
      <c r="I40" s="442" t="str">
        <f>MFC!E40</f>
        <v>097</v>
      </c>
      <c r="J40" s="385" t="s">
        <v>280</v>
      </c>
      <c r="K40" s="368" t="str">
        <f>MFC!F40</f>
        <v>Appl. Jatco AZO K-car</v>
      </c>
      <c r="L40" s="369" t="str">
        <f>MFC!G40</f>
        <v>HcP</v>
      </c>
      <c r="M40" s="370" t="str">
        <f>MFC!H40</f>
        <v>EL</v>
      </c>
      <c r="N40" s="369" t="str">
        <f>MFC!I40</f>
        <v>J</v>
      </c>
      <c r="O40" s="387" t="str">
        <f>MFC!J40</f>
        <v>see 186</v>
      </c>
      <c r="P40" s="387" t="str">
        <f>MFC!K40</f>
        <v>see 186</v>
      </c>
      <c r="Q40" s="372"/>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39"/>
      <c r="AP40" s="439"/>
      <c r="AQ40" s="439"/>
      <c r="AR40" s="673">
        <f>MFC!L40</f>
        <v>0</v>
      </c>
      <c r="AS40" s="673">
        <f>MFC!P40</f>
        <v>0</v>
      </c>
      <c r="AT40" s="440"/>
      <c r="AU40" s="440"/>
      <c r="AV40" s="440"/>
      <c r="AW40" s="440"/>
      <c r="AX40" s="440"/>
      <c r="AY40" s="440"/>
      <c r="AZ40" s="440"/>
      <c r="BA40" s="440"/>
      <c r="BB40" s="440"/>
      <c r="BC40" s="440"/>
      <c r="BD40" s="440"/>
      <c r="BE40" s="440"/>
      <c r="BF40" s="440"/>
      <c r="BG40" s="443">
        <f>MFC!Q40</f>
        <v>0</v>
      </c>
      <c r="BH40" s="734" t="s">
        <v>349</v>
      </c>
      <c r="BI40" s="443">
        <f>MFC!R40</f>
        <v>0</v>
      </c>
      <c r="BJ40" s="443">
        <f>MFC!U40</f>
        <v>0</v>
      </c>
      <c r="BK40" s="402">
        <f>MFC!W40</f>
        <v>43388</v>
      </c>
      <c r="BL40" s="402">
        <f>MFC!Y40</f>
        <v>43419</v>
      </c>
      <c r="BM40" s="231"/>
      <c r="BN40" s="231"/>
      <c r="BO40" s="231"/>
      <c r="BP40" s="231"/>
      <c r="BQ40" s="231"/>
      <c r="BR40" s="231"/>
      <c r="BS40" s="231"/>
      <c r="BT40" s="231"/>
      <c r="BU40" s="231"/>
      <c r="BV40" s="231"/>
      <c r="BW40" s="231"/>
      <c r="BX40" s="231"/>
      <c r="BY40" s="231"/>
      <c r="BZ40" s="231"/>
      <c r="CA40" s="231"/>
      <c r="CB40" s="231"/>
      <c r="CC40" s="231"/>
      <c r="CD40" s="231"/>
      <c r="CE40" s="231"/>
      <c r="CF40" s="231"/>
    </row>
    <row r="41" spans="1:85" s="206" customFormat="1" outlineLevel="1">
      <c r="A41" s="212">
        <v>40</v>
      </c>
      <c r="B41" s="209"/>
      <c r="C41" s="209"/>
      <c r="D41" s="210"/>
      <c r="E41" s="363">
        <f>MFC!A41</f>
        <v>0</v>
      </c>
      <c r="F41" s="363">
        <f>MFC!B41</f>
        <v>0</v>
      </c>
      <c r="G41" s="405">
        <f>MFC!C41</f>
        <v>238</v>
      </c>
      <c r="H41" s="365">
        <f>MFC!D41</f>
        <v>0</v>
      </c>
      <c r="I41" s="442" t="str">
        <f>MFC!E41</f>
        <v>097</v>
      </c>
      <c r="J41" s="385" t="s">
        <v>280</v>
      </c>
      <c r="K41" s="368" t="str">
        <f>MFC!F41</f>
        <v>Appl. Jatco AZO K-car</v>
      </c>
      <c r="L41" s="369" t="str">
        <f>MFC!G41</f>
        <v>HcP</v>
      </c>
      <c r="M41" s="370" t="str">
        <f>MFC!H41</f>
        <v>LL</v>
      </c>
      <c r="N41" s="369" t="str">
        <f>MFC!I41</f>
        <v>J</v>
      </c>
      <c r="O41" s="387" t="str">
        <f>MFC!J41</f>
        <v>see 186</v>
      </c>
      <c r="P41" s="387" t="str">
        <f>MFC!K41</f>
        <v>see 186</v>
      </c>
      <c r="Q41" s="372"/>
      <c r="R41" s="439"/>
      <c r="S41" s="439"/>
      <c r="T41" s="439"/>
      <c r="U41" s="439"/>
      <c r="V41" s="439"/>
      <c r="W41" s="439"/>
      <c r="X41" s="439"/>
      <c r="Y41" s="439"/>
      <c r="Z41" s="439"/>
      <c r="AA41" s="439"/>
      <c r="AB41" s="439"/>
      <c r="AC41" s="439"/>
      <c r="AD41" s="439"/>
      <c r="AE41" s="439"/>
      <c r="AF41" s="439"/>
      <c r="AG41" s="439"/>
      <c r="AH41" s="439"/>
      <c r="AI41" s="439"/>
      <c r="AJ41" s="439"/>
      <c r="AK41" s="439"/>
      <c r="AL41" s="439"/>
      <c r="AM41" s="439"/>
      <c r="AN41" s="439"/>
      <c r="AO41" s="439"/>
      <c r="AP41" s="439"/>
      <c r="AQ41" s="439"/>
      <c r="AR41" s="673">
        <f>MFC!L41</f>
        <v>0</v>
      </c>
      <c r="AS41" s="673">
        <f>MFC!P41</f>
        <v>0</v>
      </c>
      <c r="AT41" s="440"/>
      <c r="AU41" s="440"/>
      <c r="AV41" s="440"/>
      <c r="AW41" s="440"/>
      <c r="AX41" s="440"/>
      <c r="AY41" s="440"/>
      <c r="AZ41" s="440"/>
      <c r="BA41" s="440"/>
      <c r="BB41" s="440"/>
      <c r="BC41" s="440"/>
      <c r="BD41" s="440"/>
      <c r="BE41" s="440"/>
      <c r="BF41" s="440"/>
      <c r="BG41" s="443">
        <f>MFC!Q41</f>
        <v>0</v>
      </c>
      <c r="BH41" s="734" t="s">
        <v>349</v>
      </c>
      <c r="BI41" s="443">
        <f>MFC!R41</f>
        <v>0</v>
      </c>
      <c r="BJ41" s="443">
        <f>MFC!U41</f>
        <v>0</v>
      </c>
      <c r="BK41" s="402">
        <f>MFC!W41</f>
        <v>43388</v>
      </c>
      <c r="BL41" s="402">
        <f>MFC!Y41</f>
        <v>43419</v>
      </c>
      <c r="BM41" s="231"/>
      <c r="BN41" s="231"/>
      <c r="BO41" s="231"/>
      <c r="BP41" s="231"/>
      <c r="BQ41" s="231"/>
      <c r="BR41" s="231"/>
      <c r="BS41" s="231"/>
      <c r="BT41" s="231"/>
      <c r="BU41" s="231"/>
      <c r="BV41" s="231"/>
      <c r="BW41" s="231"/>
      <c r="BX41" s="231"/>
      <c r="BY41" s="231"/>
      <c r="BZ41" s="231"/>
      <c r="CA41" s="231"/>
      <c r="CB41" s="231"/>
      <c r="CC41" s="231"/>
      <c r="CD41" s="231"/>
      <c r="CE41" s="231"/>
      <c r="CF41" s="231"/>
    </row>
    <row r="42" spans="1:85" s="203" customFormat="1" ht="13.5" outlineLevel="1" thickBot="1">
      <c r="A42" s="211">
        <v>41</v>
      </c>
      <c r="B42" s="201"/>
      <c r="C42" s="201"/>
      <c r="D42" s="202"/>
      <c r="E42" s="466">
        <f>MFC!A42</f>
        <v>0</v>
      </c>
      <c r="F42" s="466">
        <f>MFC!B42</f>
        <v>0</v>
      </c>
      <c r="G42" s="550">
        <f>MFC!C42</f>
        <v>241</v>
      </c>
      <c r="H42" s="468">
        <f>MFC!D42</f>
        <v>0</v>
      </c>
      <c r="I42" s="574" t="str">
        <f>MFC!E42</f>
        <v>097</v>
      </c>
      <c r="J42" s="510" t="s">
        <v>280</v>
      </c>
      <c r="K42" s="471" t="str">
        <f>MFC!F42</f>
        <v>Appl. Jatco AZO K-car (Backup)</v>
      </c>
      <c r="L42" s="472" t="str">
        <f>MFC!G42</f>
        <v>TbP</v>
      </c>
      <c r="M42" s="473" t="str">
        <f>MFC!H42</f>
        <v>EL</v>
      </c>
      <c r="N42" s="472" t="str">
        <f>MFC!I42</f>
        <v>J</v>
      </c>
      <c r="O42" s="498" t="str">
        <f>MFC!J42</f>
        <v>see 186</v>
      </c>
      <c r="P42" s="498" t="str">
        <f>MFC!K42</f>
        <v>see 186</v>
      </c>
      <c r="Q42" s="475"/>
      <c r="R42" s="551"/>
      <c r="S42" s="551"/>
      <c r="T42" s="551"/>
      <c r="U42" s="551"/>
      <c r="V42" s="551"/>
      <c r="W42" s="551"/>
      <c r="X42" s="551"/>
      <c r="Y42" s="551"/>
      <c r="Z42" s="551"/>
      <c r="AA42" s="551"/>
      <c r="AB42" s="551"/>
      <c r="AC42" s="551"/>
      <c r="AD42" s="551"/>
      <c r="AE42" s="551"/>
      <c r="AF42" s="551"/>
      <c r="AG42" s="551"/>
      <c r="AH42" s="551"/>
      <c r="AI42" s="551"/>
      <c r="AJ42" s="551"/>
      <c r="AK42" s="551"/>
      <c r="AL42" s="551"/>
      <c r="AM42" s="551"/>
      <c r="AN42" s="551"/>
      <c r="AO42" s="551"/>
      <c r="AP42" s="551"/>
      <c r="AQ42" s="551"/>
      <c r="AR42" s="670">
        <f>MFC!L42</f>
        <v>0</v>
      </c>
      <c r="AS42" s="670">
        <f>MFC!P42</f>
        <v>0</v>
      </c>
      <c r="AT42" s="552"/>
      <c r="AU42" s="552"/>
      <c r="AV42" s="552"/>
      <c r="AW42" s="552"/>
      <c r="AX42" s="552"/>
      <c r="AY42" s="552"/>
      <c r="AZ42" s="552"/>
      <c r="BA42" s="552"/>
      <c r="BB42" s="552"/>
      <c r="BC42" s="552"/>
      <c r="BD42" s="552"/>
      <c r="BE42" s="552"/>
      <c r="BF42" s="552"/>
      <c r="BG42" s="575">
        <f>MFC!Q42</f>
        <v>0</v>
      </c>
      <c r="BH42" s="735" t="s">
        <v>349</v>
      </c>
      <c r="BI42" s="575">
        <f>MFC!R42</f>
        <v>0</v>
      </c>
      <c r="BJ42" s="575">
        <f>MFC!U42</f>
        <v>0</v>
      </c>
      <c r="BK42" s="513">
        <f>MFC!W42</f>
        <v>43388</v>
      </c>
      <c r="BL42" s="513">
        <f>MFC!Y42</f>
        <v>43419</v>
      </c>
      <c r="BM42" s="231"/>
      <c r="BN42" s="231"/>
      <c r="BO42" s="231"/>
      <c r="BP42" s="231"/>
      <c r="BQ42" s="231"/>
      <c r="BR42" s="231"/>
      <c r="BS42" s="231"/>
      <c r="BT42" s="231"/>
      <c r="BU42" s="231"/>
      <c r="BV42" s="231"/>
      <c r="BW42" s="231"/>
      <c r="BX42" s="231"/>
      <c r="BY42" s="231"/>
      <c r="BZ42" s="231"/>
      <c r="CA42" s="231"/>
      <c r="CB42" s="231"/>
      <c r="CC42" s="231"/>
      <c r="CD42" s="231"/>
      <c r="CE42" s="231"/>
      <c r="CF42" s="231"/>
    </row>
    <row r="43" spans="1:85" s="206" customFormat="1">
      <c r="A43" s="212">
        <v>42</v>
      </c>
      <c r="B43" s="205"/>
      <c r="C43" s="205"/>
      <c r="D43" s="480" t="s">
        <v>225</v>
      </c>
      <c r="E43" s="481">
        <f>MFC!A43</f>
        <v>0</v>
      </c>
      <c r="F43" s="481">
        <f>MFC!B43</f>
        <v>0</v>
      </c>
      <c r="G43" s="548">
        <f>MFC!C43</f>
        <v>177</v>
      </c>
      <c r="H43" s="504">
        <f>MFC!D43</f>
        <v>0</v>
      </c>
      <c r="I43" s="484" t="str">
        <f>MFC!E43</f>
        <v>More</v>
      </c>
      <c r="J43" s="485" t="s">
        <v>328</v>
      </c>
      <c r="K43" s="507" t="str">
        <f>MFC!F43</f>
        <v>Aut. LS CKD to HcP Jatco all belt types [+Suzuki]</v>
      </c>
      <c r="L43" s="487" t="str">
        <f>MFC!G43</f>
        <v>TbP</v>
      </c>
      <c r="M43" s="488" t="str">
        <f>MFC!H43</f>
        <v>LC</v>
      </c>
      <c r="N43" s="487" t="str">
        <f>MFC!I43</f>
        <v>CJMT</v>
      </c>
      <c r="O43" s="489" t="str">
        <f>MFC!J43</f>
        <v>QRCA</v>
      </c>
      <c r="P43" s="489" t="str">
        <f>MFC!K43</f>
        <v>P14-382</v>
      </c>
      <c r="Q43" s="490"/>
      <c r="R43" s="516"/>
      <c r="S43" s="516"/>
      <c r="T43" s="516"/>
      <c r="U43" s="576" t="s">
        <v>261</v>
      </c>
      <c r="V43" s="516" t="s">
        <v>247</v>
      </c>
      <c r="W43" s="516" t="s">
        <v>231</v>
      </c>
      <c r="X43" s="516"/>
      <c r="Y43" s="516"/>
      <c r="Z43" s="516"/>
      <c r="AA43" s="516"/>
      <c r="AB43" s="516" t="s">
        <v>233</v>
      </c>
      <c r="AC43" s="516"/>
      <c r="AD43" s="516"/>
      <c r="AE43" s="516"/>
      <c r="AF43" s="516"/>
      <c r="AG43" s="516"/>
      <c r="AH43" s="516" t="s">
        <v>233</v>
      </c>
      <c r="AI43" s="516"/>
      <c r="AJ43" s="517" t="s">
        <v>234</v>
      </c>
      <c r="AK43" s="516"/>
      <c r="AL43" s="516"/>
      <c r="AM43" s="516"/>
      <c r="AN43" s="516"/>
      <c r="AO43" s="516"/>
      <c r="AP43" s="516"/>
      <c r="AQ43" s="516"/>
      <c r="AR43" s="674">
        <f>MFC!L43</f>
        <v>41884</v>
      </c>
      <c r="AS43" s="674">
        <f>MFC!P43</f>
        <v>41887</v>
      </c>
      <c r="AT43" s="492"/>
      <c r="AU43" s="492"/>
      <c r="AV43" s="492"/>
      <c r="AW43" s="492"/>
      <c r="AX43" s="492"/>
      <c r="AY43" s="492"/>
      <c r="AZ43" s="492"/>
      <c r="BA43" s="994">
        <v>42928</v>
      </c>
      <c r="BB43" s="518"/>
      <c r="BC43" s="518"/>
      <c r="BD43" s="518"/>
      <c r="BE43" s="518"/>
      <c r="BF43" s="518"/>
      <c r="BG43" s="1069">
        <f>MFC!Q43</f>
        <v>0</v>
      </c>
      <c r="BH43" s="648"/>
      <c r="BI43" s="1069">
        <f>MFC!R43</f>
        <v>0</v>
      </c>
      <c r="BJ43" s="1069">
        <f>MFC!U43</f>
        <v>0</v>
      </c>
      <c r="BK43" s="577" t="str">
        <f>MFC!W43</f>
        <v>tbd</v>
      </c>
      <c r="BL43" s="577" t="str">
        <f>MFC!Y43</f>
        <v>tbd</v>
      </c>
      <c r="BM43" s="111"/>
      <c r="BN43" s="111"/>
      <c r="BO43" s="111"/>
      <c r="BP43" s="111"/>
      <c r="BQ43" s="111"/>
      <c r="BR43" s="111"/>
      <c r="BS43" s="111"/>
      <c r="BT43" s="111"/>
      <c r="BU43" s="111"/>
      <c r="BV43" s="111"/>
      <c r="BW43" s="111"/>
      <c r="BX43" s="111"/>
      <c r="BY43" s="111"/>
      <c r="BZ43" s="111"/>
      <c r="CA43" s="111"/>
      <c r="CB43" s="111"/>
      <c r="CC43" s="111"/>
      <c r="CD43" s="111"/>
      <c r="CE43" s="111"/>
      <c r="CF43" s="111"/>
    </row>
    <row r="44" spans="1:85" s="203" customFormat="1" ht="13.5" outlineLevel="1" thickBot="1">
      <c r="A44" s="211">
        <v>43</v>
      </c>
      <c r="B44" s="201"/>
      <c r="C44" s="201"/>
      <c r="D44" s="201" t="s">
        <v>225</v>
      </c>
      <c r="E44" s="466">
        <f>MFC!A44</f>
        <v>0</v>
      </c>
      <c r="F44" s="466">
        <f>MFC!B44</f>
        <v>0</v>
      </c>
      <c r="G44" s="578">
        <f>MFC!C44</f>
        <v>261</v>
      </c>
      <c r="H44" s="528">
        <f>MFC!D44</f>
        <v>0</v>
      </c>
      <c r="I44" s="469" t="str">
        <f>MFC!E44</f>
        <v>More</v>
      </c>
      <c r="J44" s="579" t="s">
        <v>329</v>
      </c>
      <c r="K44" s="496" t="str">
        <f>MFC!F44</f>
        <v>Aut. LS CKD to SlpP Jatco all belt types</v>
      </c>
      <c r="L44" s="472" t="str">
        <f>MFC!G44</f>
        <v>TbP</v>
      </c>
      <c r="M44" s="473" t="str">
        <f>MFC!H44</f>
        <v>LC</v>
      </c>
      <c r="N44" s="472" t="str">
        <f>MFC!I44</f>
        <v>M+S</v>
      </c>
      <c r="O44" s="474" t="str">
        <f>MFC!J44</f>
        <v>QRCA</v>
      </c>
      <c r="P44" s="474" t="str">
        <f>MFC!K44</f>
        <v>P14-382</v>
      </c>
      <c r="Q44" s="475"/>
      <c r="R44" s="499"/>
      <c r="S44" s="499"/>
      <c r="T44" s="499"/>
      <c r="U44" s="499"/>
      <c r="V44" s="499" t="s">
        <v>233</v>
      </c>
      <c r="W44" s="499"/>
      <c r="X44" s="499"/>
      <c r="Y44" s="499"/>
      <c r="Z44" s="499"/>
      <c r="AA44" s="499" t="s">
        <v>234</v>
      </c>
      <c r="AB44" s="499"/>
      <c r="AC44" s="499"/>
      <c r="AD44" s="499"/>
      <c r="AE44" s="499"/>
      <c r="AF44" s="499"/>
      <c r="AG44" s="499"/>
      <c r="AH44" s="499"/>
      <c r="AI44" s="499"/>
      <c r="AJ44" s="499"/>
      <c r="AK44" s="499"/>
      <c r="AL44" s="499"/>
      <c r="AM44" s="499"/>
      <c r="AN44" s="499"/>
      <c r="AO44" s="499"/>
      <c r="AP44" s="499"/>
      <c r="AQ44" s="499"/>
      <c r="AR44" s="675">
        <f>MFC!L44</f>
        <v>41884</v>
      </c>
      <c r="AS44" s="675">
        <f>MFC!P44</f>
        <v>41887</v>
      </c>
      <c r="AT44" s="477"/>
      <c r="AU44" s="477"/>
      <c r="AV44" s="477"/>
      <c r="AW44" s="477"/>
      <c r="AX44" s="477"/>
      <c r="AY44" s="477"/>
      <c r="AZ44" s="477"/>
      <c r="BA44" s="974">
        <v>42928</v>
      </c>
      <c r="BB44" s="477"/>
      <c r="BC44" s="477"/>
      <c r="BD44" s="477"/>
      <c r="BE44" s="477"/>
      <c r="BF44" s="477"/>
      <c r="BG44" s="1068">
        <f>MFC!Q44</f>
        <v>0</v>
      </c>
      <c r="BH44" s="651"/>
      <c r="BI44" s="1068">
        <f>MFC!R44</f>
        <v>0</v>
      </c>
      <c r="BJ44" s="1068">
        <f>MFC!U44</f>
        <v>0</v>
      </c>
      <c r="BK44" s="580" t="str">
        <f>MFC!W44</f>
        <v>tbd</v>
      </c>
      <c r="BL44" s="580" t="str">
        <f>MFC!Y44</f>
        <v>tbd</v>
      </c>
      <c r="BM44" s="232"/>
      <c r="BN44" s="232"/>
      <c r="BO44" s="232"/>
      <c r="BP44" s="232"/>
      <c r="BQ44" s="232"/>
      <c r="BR44" s="232"/>
      <c r="BS44" s="232"/>
      <c r="BT44" s="232"/>
      <c r="BU44" s="232"/>
      <c r="BV44" s="232"/>
      <c r="BW44" s="232"/>
      <c r="BX44" s="232"/>
      <c r="BY44" s="232"/>
      <c r="BZ44" s="232"/>
      <c r="CA44" s="232"/>
      <c r="CB44" s="232"/>
      <c r="CC44" s="232"/>
      <c r="CD44" s="232"/>
      <c r="CE44" s="232"/>
      <c r="CF44" s="232"/>
    </row>
    <row r="45" spans="1:85" s="206" customFormat="1">
      <c r="A45" s="212">
        <v>44</v>
      </c>
      <c r="B45" s="205"/>
      <c r="C45" s="205"/>
      <c r="D45" s="480"/>
      <c r="E45" s="481">
        <f>MFC!A45</f>
        <v>0</v>
      </c>
      <c r="F45" s="481">
        <f>MFC!B45</f>
        <v>0</v>
      </c>
      <c r="G45" s="548">
        <f>MFC!C45</f>
        <v>343</v>
      </c>
      <c r="H45" s="504">
        <f>MFC!D45</f>
        <v>0</v>
      </c>
      <c r="I45" s="581" t="str">
        <f>MFC!E45</f>
        <v>All</v>
      </c>
      <c r="J45" s="514" t="s">
        <v>308</v>
      </c>
      <c r="K45" s="582" t="str">
        <f>MFC!F45</f>
        <v>Dry belt packaging</v>
      </c>
      <c r="L45" s="487" t="str">
        <f>MFC!G45</f>
        <v>HcP</v>
      </c>
      <c r="M45" s="488" t="str">
        <f>MFC!H45</f>
        <v>AL08</v>
      </c>
      <c r="N45" s="487" t="str">
        <f>MFC!I45</f>
        <v>CJMT</v>
      </c>
      <c r="O45" s="534" t="str">
        <f>MFC!J45</f>
        <v>ENG topic</v>
      </c>
      <c r="P45" s="534" t="str">
        <f>MFC!K45</f>
        <v>?</v>
      </c>
      <c r="Q45" s="490"/>
      <c r="R45" s="516" t="s">
        <v>281</v>
      </c>
      <c r="S45" s="516"/>
      <c r="T45" s="516" t="s">
        <v>233</v>
      </c>
      <c r="U45" s="516"/>
      <c r="V45" s="516"/>
      <c r="W45" s="516"/>
      <c r="X45" s="516"/>
      <c r="Y45" s="516"/>
      <c r="Z45" s="516"/>
      <c r="AA45" s="516"/>
      <c r="AB45" s="516"/>
      <c r="AC45" s="516"/>
      <c r="AD45" s="516"/>
      <c r="AE45" s="516"/>
      <c r="AF45" s="516"/>
      <c r="AG45" s="516"/>
      <c r="AH45" s="516"/>
      <c r="AI45" s="516"/>
      <c r="AJ45" s="516"/>
      <c r="AK45" s="516"/>
      <c r="AL45" s="516"/>
      <c r="AM45" s="516"/>
      <c r="AN45" s="516"/>
      <c r="AO45" s="516"/>
      <c r="AP45" s="516"/>
      <c r="AQ45" s="516"/>
      <c r="AR45" s="676" t="str">
        <f>MFC!L45</f>
        <v>tbd</v>
      </c>
      <c r="AS45" s="669" t="str">
        <f>MFC!P45</f>
        <v>tbd</v>
      </c>
      <c r="AT45" s="492"/>
      <c r="AU45" s="515"/>
      <c r="AV45" s="515"/>
      <c r="AW45" s="492"/>
      <c r="AX45" s="492"/>
      <c r="AY45" s="492"/>
      <c r="AZ45" s="492"/>
      <c r="BA45" s="492"/>
      <c r="BB45" s="492"/>
      <c r="BC45" s="492"/>
      <c r="BD45" s="492"/>
      <c r="BE45" s="492"/>
      <c r="BF45" s="492"/>
      <c r="BG45" s="519" t="str">
        <f>MFC!Q45</f>
        <v>tbd</v>
      </c>
      <c r="BH45" s="648"/>
      <c r="BI45" s="519" t="str">
        <f>MFC!R45</f>
        <v>tbd</v>
      </c>
      <c r="BJ45" s="519" t="str">
        <f>MFC!U45</f>
        <v>tbd</v>
      </c>
      <c r="BK45" s="583" t="str">
        <f>MFC!W45</f>
        <v>tbd</v>
      </c>
      <c r="BL45" s="583" t="str">
        <f>MFC!Y45</f>
        <v>tbd</v>
      </c>
      <c r="BM45" s="228"/>
      <c r="BN45" s="228"/>
      <c r="BO45" s="228"/>
      <c r="BP45" s="228"/>
      <c r="BQ45" s="228"/>
      <c r="BR45" s="228"/>
      <c r="BS45" s="228"/>
      <c r="BT45" s="228"/>
      <c r="BU45" s="228"/>
      <c r="BV45" s="228"/>
      <c r="BW45" s="228"/>
      <c r="BX45" s="228"/>
      <c r="BY45" s="228"/>
      <c r="BZ45" s="228"/>
      <c r="CA45" s="228"/>
      <c r="CB45" s="228"/>
      <c r="CC45" s="228"/>
      <c r="CD45" s="228"/>
      <c r="CE45" s="228"/>
      <c r="CF45" s="228"/>
    </row>
    <row r="46" spans="1:85" s="203" customFormat="1" ht="13.5" thickBot="1">
      <c r="A46" s="211">
        <v>45</v>
      </c>
      <c r="B46" s="201"/>
      <c r="C46" s="201"/>
      <c r="D46" s="209" t="s">
        <v>225</v>
      </c>
      <c r="E46" s="363">
        <f>MFC!A46</f>
        <v>0</v>
      </c>
      <c r="F46" s="363">
        <f>MFC!B46</f>
        <v>0</v>
      </c>
      <c r="G46" s="364">
        <f>MFC!C46</f>
        <v>340</v>
      </c>
      <c r="H46" s="365" t="str">
        <f>MFC!D46</f>
        <v>R</v>
      </c>
      <c r="I46" s="398" t="str">
        <f>MFC!E46</f>
        <v>All</v>
      </c>
      <c r="J46" s="395" t="s">
        <v>282</v>
      </c>
      <c r="K46" s="368" t="str">
        <f>MFC!F46</f>
        <v>Replace mixing + eol washer</v>
      </c>
      <c r="L46" s="369" t="str">
        <f>MFC!G46</f>
        <v>HcP</v>
      </c>
      <c r="M46" s="370" t="str">
        <f>MFC!H46</f>
        <v>EL</v>
      </c>
      <c r="N46" s="369" t="str">
        <f>MFC!I46</f>
        <v>CJMT+S</v>
      </c>
      <c r="O46" s="400" t="str">
        <f>MFC!J46</f>
        <v>?</v>
      </c>
      <c r="P46" s="400" t="str">
        <f>MFC!K46</f>
        <v>?</v>
      </c>
      <c r="Q46" s="372"/>
      <c r="R46" s="380"/>
      <c r="S46" s="380"/>
      <c r="T46" s="380"/>
      <c r="U46" s="380"/>
      <c r="V46" s="380"/>
      <c r="W46" s="380"/>
      <c r="X46" s="380"/>
      <c r="Y46" s="380"/>
      <c r="Z46" s="380" t="s">
        <v>283</v>
      </c>
      <c r="AA46" s="380"/>
      <c r="AB46" s="380" t="s">
        <v>242</v>
      </c>
      <c r="AC46" s="380"/>
      <c r="AD46" s="380" t="s">
        <v>247</v>
      </c>
      <c r="AE46" s="380"/>
      <c r="AF46" s="380" t="s">
        <v>246</v>
      </c>
      <c r="AG46" s="380"/>
      <c r="AH46" s="380"/>
      <c r="AI46" s="380"/>
      <c r="AJ46" s="380"/>
      <c r="AK46" s="380"/>
      <c r="AL46" s="380"/>
      <c r="AM46" s="380"/>
      <c r="AN46" s="380" t="s">
        <v>236</v>
      </c>
      <c r="AO46" s="380"/>
      <c r="AP46" s="380"/>
      <c r="AQ46" s="380"/>
      <c r="AR46" s="677">
        <f>MFC!L46</f>
        <v>42852</v>
      </c>
      <c r="AS46" s="678">
        <f>MFC!P46</f>
        <v>43013</v>
      </c>
      <c r="AT46" s="983" t="s">
        <v>358</v>
      </c>
      <c r="AU46" s="374"/>
      <c r="AV46" s="374"/>
      <c r="AW46" s="374"/>
      <c r="AX46" s="374"/>
      <c r="AY46" s="374"/>
      <c r="AZ46" s="374"/>
      <c r="BA46" s="983" t="s">
        <v>358</v>
      </c>
      <c r="BB46" s="990">
        <v>42977</v>
      </c>
      <c r="BC46" s="990">
        <v>42977</v>
      </c>
      <c r="BD46" s="990">
        <v>42992</v>
      </c>
      <c r="BE46" s="990">
        <v>43061</v>
      </c>
      <c r="BF46" s="990">
        <v>43061</v>
      </c>
      <c r="BG46" s="407">
        <f>MFC!Q46</f>
        <v>43039</v>
      </c>
      <c r="BH46" s="421">
        <v>43059</v>
      </c>
      <c r="BI46" s="407">
        <v>43059</v>
      </c>
      <c r="BJ46" s="407">
        <f>MFC!U46</f>
        <v>43083</v>
      </c>
      <c r="BK46" s="408">
        <f>MFC!W46</f>
        <v>43110</v>
      </c>
      <c r="BL46" s="402" t="str">
        <f>MFC!Y46</f>
        <v>NA</v>
      </c>
      <c r="BM46" s="228"/>
      <c r="BN46" s="228"/>
      <c r="BO46" s="228"/>
      <c r="BP46" s="228"/>
      <c r="BQ46" s="228"/>
      <c r="BR46" s="228"/>
      <c r="BS46" s="228"/>
      <c r="BT46" s="228"/>
      <c r="BU46" s="228"/>
      <c r="BV46" s="228"/>
      <c r="BW46" s="228"/>
      <c r="BX46" s="228"/>
      <c r="BY46" s="228"/>
      <c r="BZ46" s="228"/>
      <c r="CA46" s="228"/>
      <c r="CB46" s="228"/>
      <c r="CC46" s="228"/>
      <c r="CD46" s="228"/>
      <c r="CE46" s="228"/>
      <c r="CF46" s="228"/>
      <c r="CG46" s="723"/>
    </row>
    <row r="47" spans="1:85" s="206" customFormat="1">
      <c r="A47" s="212">
        <v>46</v>
      </c>
      <c r="B47" s="205"/>
      <c r="C47" s="205"/>
      <c r="D47" s="209" t="s">
        <v>225</v>
      </c>
      <c r="E47" s="363">
        <f>MFC!A47</f>
        <v>0</v>
      </c>
      <c r="F47" s="363">
        <f>MFC!B47</f>
        <v>0</v>
      </c>
      <c r="G47" s="406">
        <f>MFC!C47</f>
        <v>30</v>
      </c>
      <c r="H47" s="377">
        <f>MFC!D47</f>
        <v>42998</v>
      </c>
      <c r="I47" s="409" t="str">
        <f>MFC!E47</f>
        <v>All loops LL1A (non-Honda)</v>
      </c>
      <c r="J47" s="444" t="s">
        <v>285</v>
      </c>
      <c r="K47" s="379" t="str">
        <f>MFC!F47</f>
        <v>Replacement loopwasher LL1A</v>
      </c>
      <c r="L47" s="369" t="str">
        <f>MFC!G47</f>
        <v>TbP</v>
      </c>
      <c r="M47" s="370" t="str">
        <f>MFC!H47</f>
        <v>LL01A</v>
      </c>
      <c r="N47" s="369" t="str">
        <f>MFC!I47</f>
        <v>CJMT+S</v>
      </c>
      <c r="O47" s="371" t="str">
        <f>MFC!J47</f>
        <v>tbd</v>
      </c>
      <c r="P47" s="371" t="str">
        <f>MFC!K47</f>
        <v>P14-337</v>
      </c>
      <c r="Q47" s="372"/>
      <c r="R47" s="380"/>
      <c r="S47" s="380"/>
      <c r="T47" s="380"/>
      <c r="U47" s="380"/>
      <c r="V47" s="380"/>
      <c r="W47" s="380"/>
      <c r="X47" s="380"/>
      <c r="Y47" s="380"/>
      <c r="Z47" s="380"/>
      <c r="AA47" s="380"/>
      <c r="AB47" s="380"/>
      <c r="AC47" s="380"/>
      <c r="AD47" s="380"/>
      <c r="AE47" s="380"/>
      <c r="AF47" s="380"/>
      <c r="AG47" s="380"/>
      <c r="AH47" s="380"/>
      <c r="AI47" s="380"/>
      <c r="AJ47" s="380"/>
      <c r="AK47" s="380"/>
      <c r="AL47" s="380"/>
      <c r="AM47" s="380"/>
      <c r="AN47" s="380"/>
      <c r="AO47" s="380"/>
      <c r="AP47" s="380"/>
      <c r="AQ47" s="380"/>
      <c r="AR47" s="678">
        <f>MFC!L47</f>
        <v>41843</v>
      </c>
      <c r="AS47" s="678">
        <f>MFC!P47</f>
        <v>41859</v>
      </c>
      <c r="AT47" s="374"/>
      <c r="AU47" s="374"/>
      <c r="AV47" s="374"/>
      <c r="AW47" s="374"/>
      <c r="AX47" s="374"/>
      <c r="AY47" s="374"/>
      <c r="AZ47" s="374"/>
      <c r="BA47" s="374"/>
      <c r="BB47" s="374"/>
      <c r="BC47" s="374"/>
      <c r="BD47" s="374"/>
      <c r="BE47" s="374"/>
      <c r="BF47" s="374"/>
      <c r="BG47" s="1071">
        <f>MFC!Q47</f>
        <v>0</v>
      </c>
      <c r="BH47" s="422" t="s">
        <v>128</v>
      </c>
      <c r="BI47" s="1067">
        <f>MFC!R47</f>
        <v>0</v>
      </c>
      <c r="BJ47" s="1067">
        <f>MFC!U47</f>
        <v>0</v>
      </c>
      <c r="BK47" s="402" t="str">
        <f>MFC!W47</f>
        <v>tbd</v>
      </c>
      <c r="BL47" s="402" t="str">
        <f>MFC!Y47</f>
        <v>tbd</v>
      </c>
      <c r="BM47" s="228"/>
      <c r="BN47" s="228"/>
      <c r="BO47" s="228"/>
      <c r="BP47" s="228"/>
      <c r="BQ47" s="228"/>
      <c r="BR47" s="228"/>
      <c r="BS47" s="228"/>
      <c r="BT47" s="228"/>
      <c r="BU47" s="228"/>
      <c r="BV47" s="228"/>
      <c r="BW47" s="228"/>
      <c r="BX47" s="228"/>
      <c r="BY47" s="228"/>
      <c r="BZ47" s="228"/>
      <c r="CA47" s="228"/>
      <c r="CB47" s="228"/>
      <c r="CC47" s="228"/>
      <c r="CD47" s="228"/>
      <c r="CE47" s="228"/>
      <c r="CF47" s="228"/>
    </row>
    <row r="48" spans="1:85" s="203" customFormat="1" ht="13.5" thickBot="1">
      <c r="A48" s="211">
        <v>47</v>
      </c>
      <c r="B48" s="201"/>
      <c r="C48" s="201"/>
      <c r="D48" s="201" t="s">
        <v>225</v>
      </c>
      <c r="E48" s="466">
        <f>MFC!A48</f>
        <v>0</v>
      </c>
      <c r="F48" s="466">
        <f>MFC!B48</f>
        <v>0</v>
      </c>
      <c r="G48" s="578">
        <f>MFC!C48</f>
        <v>31</v>
      </c>
      <c r="H48" s="495">
        <f>MFC!D48</f>
        <v>42998</v>
      </c>
      <c r="I48" s="584" t="str">
        <f>MFC!E48</f>
        <v>All loops LL1B (non-Honda)</v>
      </c>
      <c r="J48" s="585" t="s">
        <v>286</v>
      </c>
      <c r="K48" s="496" t="str">
        <f>MFC!F48</f>
        <v>Replacement loopwasher LL1B</v>
      </c>
      <c r="L48" s="472" t="str">
        <f>MFC!G48</f>
        <v>TbP</v>
      </c>
      <c r="M48" s="473" t="str">
        <f>MFC!H48</f>
        <v>LL01B</v>
      </c>
      <c r="N48" s="472" t="str">
        <f>MFC!I48</f>
        <v>CJMT+S</v>
      </c>
      <c r="O48" s="474" t="str">
        <f>MFC!J48</f>
        <v>tbd</v>
      </c>
      <c r="P48" s="474" t="str">
        <f>MFC!K48</f>
        <v>P14-337</v>
      </c>
      <c r="Q48" s="475"/>
      <c r="R48" s="499"/>
      <c r="S48" s="499"/>
      <c r="T48" s="499"/>
      <c r="U48" s="499"/>
      <c r="V48" s="499"/>
      <c r="W48" s="499"/>
      <c r="X48" s="499"/>
      <c r="Y48" s="499"/>
      <c r="Z48" s="499"/>
      <c r="AA48" s="499"/>
      <c r="AB48" s="499"/>
      <c r="AC48" s="499"/>
      <c r="AD48" s="499"/>
      <c r="AE48" s="499"/>
      <c r="AF48" s="499"/>
      <c r="AG48" s="499"/>
      <c r="AH48" s="499"/>
      <c r="AI48" s="499"/>
      <c r="AJ48" s="499"/>
      <c r="AK48" s="499"/>
      <c r="AL48" s="499"/>
      <c r="AM48" s="499"/>
      <c r="AN48" s="499"/>
      <c r="AO48" s="499"/>
      <c r="AP48" s="499"/>
      <c r="AQ48" s="499"/>
      <c r="AR48" s="675">
        <f>MFC!L48</f>
        <v>41843</v>
      </c>
      <c r="AS48" s="675">
        <f>MFC!P48</f>
        <v>41859</v>
      </c>
      <c r="AT48" s="477"/>
      <c r="AU48" s="477"/>
      <c r="AV48" s="477"/>
      <c r="AW48" s="477"/>
      <c r="AX48" s="477"/>
      <c r="AY48" s="477"/>
      <c r="AZ48" s="477"/>
      <c r="BA48" s="477"/>
      <c r="BB48" s="477"/>
      <c r="BC48" s="477"/>
      <c r="BD48" s="477"/>
      <c r="BE48" s="477"/>
      <c r="BF48" s="477"/>
      <c r="BG48" s="1072">
        <f>MFC!Q48</f>
        <v>0</v>
      </c>
      <c r="BH48" s="652" t="s">
        <v>128</v>
      </c>
      <c r="BI48" s="1068">
        <f>MFC!R48</f>
        <v>0</v>
      </c>
      <c r="BJ48" s="1068">
        <f>MFC!U48</f>
        <v>0</v>
      </c>
      <c r="BK48" s="513" t="str">
        <f>MFC!W48</f>
        <v>tbd</v>
      </c>
      <c r="BL48" s="513" t="str">
        <f>MFC!Y48</f>
        <v>tbd</v>
      </c>
      <c r="BM48" s="228"/>
      <c r="BN48" s="228"/>
      <c r="BO48" s="228"/>
      <c r="BP48" s="228"/>
      <c r="BQ48" s="228"/>
      <c r="BR48" s="228"/>
      <c r="BS48" s="228"/>
      <c r="BT48" s="228"/>
      <c r="BU48" s="228"/>
      <c r="BV48" s="228"/>
      <c r="BW48" s="228"/>
      <c r="BX48" s="228"/>
      <c r="BY48" s="228"/>
      <c r="BZ48" s="228"/>
      <c r="CA48" s="228"/>
      <c r="CB48" s="228"/>
      <c r="CC48" s="228"/>
      <c r="CD48" s="228"/>
      <c r="CE48" s="228"/>
      <c r="CF48" s="228"/>
    </row>
    <row r="49" spans="1:85" s="221" customFormat="1" ht="13.5" thickBot="1">
      <c r="A49" s="215">
        <v>48</v>
      </c>
      <c r="B49" s="216"/>
      <c r="C49" s="216"/>
      <c r="D49" s="480" t="s">
        <v>225</v>
      </c>
      <c r="E49" s="481">
        <f>MFC!A49</f>
        <v>0</v>
      </c>
      <c r="F49" s="481">
        <f>MFC!B49</f>
        <v>0</v>
      </c>
      <c r="G49" s="525">
        <f>MFC!C49</f>
        <v>344</v>
      </c>
      <c r="H49" s="504" t="str">
        <f>MFC!D49</f>
        <v>R</v>
      </c>
      <c r="I49" s="581" t="str">
        <f>MFC!E49</f>
        <v>089</v>
      </c>
      <c r="J49" s="506" t="s">
        <v>287</v>
      </c>
      <c r="K49" s="533" t="str">
        <f>MFC!F49</f>
        <v>Backup furnace(LL6) for GU lines(LL10,11)</v>
      </c>
      <c r="L49" s="487" t="str">
        <f>MFC!G49</f>
        <v>HcP</v>
      </c>
      <c r="M49" s="488" t="str">
        <f>MFC!H49</f>
        <v>LL06</v>
      </c>
      <c r="N49" s="487" t="str">
        <f>MFC!I49</f>
        <v>CJM+S</v>
      </c>
      <c r="O49" s="534">
        <f>MFC!J49</f>
        <v>0</v>
      </c>
      <c r="P49" s="534" t="str">
        <f>MFC!K49</f>
        <v>P17-wait</v>
      </c>
      <c r="Q49" s="490"/>
      <c r="R49" s="516"/>
      <c r="S49" s="516"/>
      <c r="T49" s="516"/>
      <c r="U49" s="516" t="s">
        <v>288</v>
      </c>
      <c r="V49" s="516" t="s">
        <v>247</v>
      </c>
      <c r="W49" s="516"/>
      <c r="X49" s="516"/>
      <c r="Y49" s="516"/>
      <c r="Z49" s="516"/>
      <c r="AA49" s="516" t="s">
        <v>246</v>
      </c>
      <c r="AB49" s="516"/>
      <c r="AC49" s="516"/>
      <c r="AD49" s="516"/>
      <c r="AE49" s="516"/>
      <c r="AF49" s="516"/>
      <c r="AG49" s="516"/>
      <c r="AH49" s="516"/>
      <c r="AI49" s="516"/>
      <c r="AJ49" s="516"/>
      <c r="AK49" s="516"/>
      <c r="AL49" s="516" t="s">
        <v>236</v>
      </c>
      <c r="AM49" s="516"/>
      <c r="AN49" s="516"/>
      <c r="AO49" s="516"/>
      <c r="AP49" s="516"/>
      <c r="AQ49" s="516"/>
      <c r="AR49" s="674">
        <f>MFC!L49</f>
        <v>42928</v>
      </c>
      <c r="AS49" s="984">
        <v>43010</v>
      </c>
      <c r="AT49" s="586"/>
      <c r="AU49" s="492"/>
      <c r="AV49" s="492"/>
      <c r="AW49" s="492"/>
      <c r="AX49" s="492"/>
      <c r="AY49" s="492"/>
      <c r="AZ49" s="492"/>
      <c r="BA49" s="992">
        <v>42970</v>
      </c>
      <c r="BB49" s="992">
        <v>42978</v>
      </c>
      <c r="BC49" s="992">
        <v>42978</v>
      </c>
      <c r="BD49" s="992">
        <v>42993</v>
      </c>
      <c r="BE49" s="1008">
        <v>43067</v>
      </c>
      <c r="BF49" s="1008">
        <v>43067</v>
      </c>
      <c r="BG49" s="526">
        <v>43012</v>
      </c>
      <c r="BH49" s="993">
        <v>43084</v>
      </c>
      <c r="BI49" s="526">
        <f>MFC!R49</f>
        <v>43063</v>
      </c>
      <c r="BJ49" s="526">
        <f>MFC!U49</f>
        <v>43096</v>
      </c>
      <c r="BK49" s="1079">
        <f>MFC!W49</f>
        <v>43107</v>
      </c>
      <c r="BL49" s="520" t="str">
        <f>MFC!Y49</f>
        <v>NA</v>
      </c>
      <c r="BM49" s="228"/>
      <c r="BN49" s="228"/>
      <c r="BO49" s="228"/>
      <c r="BP49" s="228"/>
      <c r="BQ49" s="228"/>
      <c r="BR49" s="228"/>
      <c r="BS49" s="228"/>
      <c r="BT49" s="228"/>
      <c r="BU49" s="228"/>
      <c r="BV49" s="228"/>
      <c r="BW49" s="228"/>
      <c r="BX49" s="228"/>
      <c r="BY49" s="228"/>
      <c r="BZ49" s="228"/>
      <c r="CA49" s="228"/>
      <c r="CB49" s="228"/>
      <c r="CC49" s="228"/>
      <c r="CD49" s="228"/>
      <c r="CE49" s="228"/>
      <c r="CF49" s="228"/>
      <c r="CG49" s="722"/>
    </row>
    <row r="50" spans="1:85" s="221" customFormat="1" ht="13.5" thickBot="1">
      <c r="A50" s="215">
        <v>49</v>
      </c>
      <c r="B50" s="216"/>
      <c r="C50" s="216"/>
      <c r="D50" s="209" t="s">
        <v>225</v>
      </c>
      <c r="E50" s="446" t="s">
        <v>128</v>
      </c>
      <c r="F50" s="363">
        <f>MFC!B50</f>
        <v>0</v>
      </c>
      <c r="G50" s="406">
        <f>MFC!C50</f>
        <v>290</v>
      </c>
      <c r="H50" s="365">
        <f>MFC!D50</f>
        <v>43146</v>
      </c>
      <c r="I50" s="366" t="str">
        <f>MFC!E50</f>
        <v>089</v>
      </c>
      <c r="J50" s="367" t="s">
        <v>310</v>
      </c>
      <c r="K50" s="368" t="str">
        <f>MFC!F50</f>
        <v>LS CKD HcP--&gt;SlpP 089</v>
      </c>
      <c r="L50" s="369" t="str">
        <f>MFC!G50</f>
        <v>HcP</v>
      </c>
      <c r="M50" s="370" t="str">
        <f>MFC!H50</f>
        <v>LC</v>
      </c>
      <c r="N50" s="369" t="str">
        <f>MFC!I50</f>
        <v>M+S</v>
      </c>
      <c r="O50" s="386">
        <f>MFC!J50</f>
        <v>0</v>
      </c>
      <c r="P50" s="386">
        <f>MFC!K50</f>
        <v>0</v>
      </c>
      <c r="Q50" s="372"/>
      <c r="R50" s="380"/>
      <c r="S50" s="380"/>
      <c r="T50" s="380"/>
      <c r="U50" s="380"/>
      <c r="V50" s="380"/>
      <c r="W50" s="380"/>
      <c r="X50" s="380"/>
      <c r="Y50" s="380"/>
      <c r="Z50" s="380"/>
      <c r="AA50" s="380" t="s">
        <v>243</v>
      </c>
      <c r="AB50" s="380"/>
      <c r="AC50" s="380"/>
      <c r="AD50" s="380"/>
      <c r="AE50" s="380"/>
      <c r="AF50" s="380"/>
      <c r="AG50" s="380"/>
      <c r="AH50" s="392" t="s">
        <v>232</v>
      </c>
      <c r="AI50" s="380"/>
      <c r="AJ50" s="392" t="s">
        <v>233</v>
      </c>
      <c r="AK50" s="380"/>
      <c r="AL50" s="380"/>
      <c r="AM50" s="380"/>
      <c r="AN50" s="392" t="s">
        <v>234</v>
      </c>
      <c r="AO50" s="380"/>
      <c r="AP50" s="380"/>
      <c r="AQ50" s="380"/>
      <c r="AR50" s="678">
        <f>MFC!L50</f>
        <v>43140</v>
      </c>
      <c r="AS50" s="981">
        <f>MFC!P50</f>
        <v>43146</v>
      </c>
      <c r="AT50" s="445"/>
      <c r="AU50" s="374"/>
      <c r="AV50" s="374"/>
      <c r="AW50" s="374"/>
      <c r="AX50" s="374"/>
      <c r="AY50" s="374"/>
      <c r="AZ50" s="374"/>
      <c r="BA50" s="403">
        <v>43181</v>
      </c>
      <c r="BB50" s="403">
        <v>43194</v>
      </c>
      <c r="BC50" s="403">
        <v>43194</v>
      </c>
      <c r="BD50" s="403">
        <v>43194</v>
      </c>
      <c r="BE50" s="374">
        <v>43248</v>
      </c>
      <c r="BF50" s="374">
        <v>43248</v>
      </c>
      <c r="BG50" s="404">
        <f>MFC!Q50</f>
        <v>43196</v>
      </c>
      <c r="BH50" s="422"/>
      <c r="BI50" s="404">
        <f>MFC!R50</f>
        <v>43224</v>
      </c>
      <c r="BJ50" s="404">
        <f>MFC!U50</f>
        <v>43262</v>
      </c>
      <c r="BK50" s="402">
        <f>MFC!W50</f>
        <v>43269</v>
      </c>
      <c r="BL50" s="402">
        <f>MFC!Y50</f>
        <v>43271</v>
      </c>
      <c r="BM50" s="228"/>
      <c r="BN50" s="228"/>
      <c r="BO50" s="228"/>
      <c r="BP50" s="228"/>
      <c r="BQ50" s="228"/>
      <c r="BR50" s="228"/>
      <c r="BS50" s="228"/>
      <c r="BT50" s="228"/>
      <c r="BU50" s="228"/>
      <c r="BV50" s="228"/>
      <c r="BW50" s="228"/>
      <c r="BX50" s="228"/>
      <c r="BY50" s="228"/>
      <c r="BZ50" s="228"/>
      <c r="CA50" s="228"/>
      <c r="CB50" s="228"/>
      <c r="CC50" s="228"/>
      <c r="CD50" s="228"/>
      <c r="CE50" s="228"/>
      <c r="CF50" s="228"/>
    </row>
    <row r="51" spans="1:85" s="206" customFormat="1">
      <c r="A51" s="212">
        <v>50</v>
      </c>
      <c r="B51" s="212"/>
      <c r="C51" s="212"/>
      <c r="D51" s="694" t="s">
        <v>225</v>
      </c>
      <c r="E51" s="695">
        <f>MFC!A51</f>
        <v>0</v>
      </c>
      <c r="F51" s="695">
        <f>MFC!B51</f>
        <v>0</v>
      </c>
      <c r="G51" s="1042">
        <f>MFC!C51</f>
        <v>421</v>
      </c>
      <c r="H51" s="696" t="str">
        <f>MFC!D51</f>
        <v>R</v>
      </c>
      <c r="I51" s="447" t="str">
        <f>MFC!E51</f>
        <v>089</v>
      </c>
      <c r="J51" s="716" t="s">
        <v>361</v>
      </c>
      <c r="K51" s="448" t="str">
        <f>MFC!F51</f>
        <v>PL: Reloc. Weld.4 PL4--&gt;5</v>
      </c>
      <c r="L51" s="369" t="str">
        <f>MFC!G51</f>
        <v>HcP</v>
      </c>
      <c r="M51" s="370" t="str">
        <f>MFC!H51</f>
        <v>LL</v>
      </c>
      <c r="N51" s="369" t="str">
        <f>MFC!I51</f>
        <v>CJM+S</v>
      </c>
      <c r="O51" s="386">
        <f>MFC!J51</f>
        <v>0</v>
      </c>
      <c r="P51" s="386">
        <f>MFC!K51</f>
        <v>0</v>
      </c>
      <c r="Q51" s="372"/>
      <c r="R51" s="380"/>
      <c r="S51" s="380"/>
      <c r="T51" s="380"/>
      <c r="U51" s="380"/>
      <c r="V51" s="380"/>
      <c r="W51" s="380"/>
      <c r="X51" s="380"/>
      <c r="Y51" s="380"/>
      <c r="Z51" s="380"/>
      <c r="AA51" s="380"/>
      <c r="AB51" s="380"/>
      <c r="AC51" s="380"/>
      <c r="AD51" s="380"/>
      <c r="AE51" s="380"/>
      <c r="AF51" s="380"/>
      <c r="AG51" s="380"/>
      <c r="AH51" s="380"/>
      <c r="AI51" s="380"/>
      <c r="AJ51" s="380"/>
      <c r="AK51" s="380"/>
      <c r="AL51" s="380"/>
      <c r="AM51" s="380"/>
      <c r="AN51" s="380"/>
      <c r="AO51" s="380"/>
      <c r="AP51" s="380" t="s">
        <v>243</v>
      </c>
      <c r="AQ51" s="380"/>
      <c r="AR51" s="678">
        <f>MFC!L51</f>
        <v>42933</v>
      </c>
      <c r="AS51" s="678">
        <f>MFC!P51</f>
        <v>42979</v>
      </c>
      <c r="AT51" s="374"/>
      <c r="AU51" s="374"/>
      <c r="AV51" s="374"/>
      <c r="AW51" s="374"/>
      <c r="AX51" s="374"/>
      <c r="AY51" s="374"/>
      <c r="AZ51" s="374"/>
      <c r="BA51" s="989">
        <v>42950</v>
      </c>
      <c r="BB51" s="990">
        <v>42970</v>
      </c>
      <c r="BC51" s="989">
        <v>42970</v>
      </c>
      <c r="BD51" s="989">
        <v>42979</v>
      </c>
      <c r="BE51" s="990">
        <v>43082</v>
      </c>
      <c r="BF51" s="990">
        <v>43082</v>
      </c>
      <c r="BG51" s="407">
        <v>43063</v>
      </c>
      <c r="BH51" s="421">
        <v>43059</v>
      </c>
      <c r="BI51" s="407">
        <v>43067</v>
      </c>
      <c r="BJ51" s="1010">
        <v>43087</v>
      </c>
      <c r="BK51" s="1075">
        <v>43088</v>
      </c>
      <c r="BL51" s="1073">
        <f>MFC!Y51</f>
        <v>0</v>
      </c>
      <c r="BM51" s="228"/>
      <c r="BN51" s="228"/>
      <c r="BO51" s="228"/>
      <c r="BP51" s="228"/>
      <c r="BQ51" s="228"/>
      <c r="BR51" s="228"/>
      <c r="BS51" s="228"/>
      <c r="BT51" s="228"/>
      <c r="BU51" s="228"/>
      <c r="BV51" s="228"/>
      <c r="BW51" s="228"/>
      <c r="BX51" s="228"/>
      <c r="BY51" s="228"/>
      <c r="BZ51" s="228"/>
      <c r="CA51" s="228"/>
      <c r="CB51" s="228"/>
      <c r="CC51" s="228"/>
      <c r="CD51" s="228"/>
      <c r="CE51" s="228"/>
      <c r="CF51" s="228"/>
    </row>
    <row r="52" spans="1:85" s="206" customFormat="1" ht="13.5" customHeight="1">
      <c r="A52" s="212">
        <v>51</v>
      </c>
      <c r="B52" s="212"/>
      <c r="C52" s="212"/>
      <c r="D52" s="697"/>
      <c r="E52" s="695">
        <f>MFC!A52</f>
        <v>0</v>
      </c>
      <c r="F52" s="695">
        <f>MFC!B52</f>
        <v>0</v>
      </c>
      <c r="G52" s="438">
        <f>MFC!C52</f>
        <v>450</v>
      </c>
      <c r="H52" s="698">
        <f>MFC!D52</f>
        <v>0</v>
      </c>
      <c r="I52" s="449" t="str">
        <f>MFC!E52</f>
        <v>089</v>
      </c>
      <c r="J52" s="717" t="s">
        <v>289</v>
      </c>
      <c r="K52" s="441" t="str">
        <f>MFC!F52</f>
        <v>New AL18 for 089 SlpP</v>
      </c>
      <c r="L52" s="438" t="str">
        <f>MFC!G52</f>
        <v>SlpP</v>
      </c>
      <c r="M52" s="370" t="str">
        <f>MFC!H52</f>
        <v>AL18</v>
      </c>
      <c r="N52" s="438" t="str">
        <f>MFC!I52</f>
        <v>M</v>
      </c>
      <c r="O52" s="438">
        <f>MFC!J52</f>
        <v>0</v>
      </c>
      <c r="P52" s="438">
        <f>MFC!K52</f>
        <v>0</v>
      </c>
      <c r="Q52" s="372"/>
      <c r="R52" s="372"/>
      <c r="S52" s="372"/>
      <c r="T52" s="372"/>
      <c r="U52" s="372"/>
      <c r="V52" s="372"/>
      <c r="W52" s="372"/>
      <c r="X52" s="372"/>
      <c r="Y52" s="372"/>
      <c r="Z52" s="372"/>
      <c r="AA52" s="372"/>
      <c r="AB52" s="372"/>
      <c r="AC52" s="372"/>
      <c r="AD52" s="372"/>
      <c r="AE52" s="372"/>
      <c r="AF52" s="372"/>
      <c r="AG52" s="372"/>
      <c r="AH52" s="372"/>
      <c r="AI52" s="372"/>
      <c r="AJ52" s="372"/>
      <c r="AK52" s="372"/>
      <c r="AL52" s="372"/>
      <c r="AM52" s="372"/>
      <c r="AN52" s="372"/>
      <c r="AO52" s="372"/>
      <c r="AP52" s="372"/>
      <c r="AQ52" s="372"/>
      <c r="AR52" s="1062">
        <f>MFC!L52</f>
        <v>0</v>
      </c>
      <c r="AS52" s="664">
        <f>MFC!P52</f>
        <v>0</v>
      </c>
      <c r="AT52" s="373"/>
      <c r="AU52" s="373"/>
      <c r="AV52" s="373"/>
      <c r="AW52" s="373"/>
      <c r="AX52" s="373"/>
      <c r="AY52" s="373"/>
      <c r="AZ52" s="373"/>
      <c r="BA52" s="373"/>
      <c r="BB52" s="373"/>
      <c r="BC52" s="373"/>
      <c r="BD52" s="373"/>
      <c r="BE52" s="373"/>
      <c r="BF52" s="373"/>
      <c r="BG52" s="436">
        <f>MFC!Q52</f>
        <v>0</v>
      </c>
      <c r="BH52" s="390" t="s">
        <v>349</v>
      </c>
      <c r="BI52" s="436">
        <f>MFC!R52</f>
        <v>0</v>
      </c>
      <c r="BJ52" s="436">
        <f>MFC!U52</f>
        <v>0</v>
      </c>
      <c r="BK52" s="437">
        <f>MFC!W52</f>
        <v>43070</v>
      </c>
      <c r="BL52" s="437">
        <f>MFC!Y52</f>
        <v>43070</v>
      </c>
      <c r="BM52" s="228"/>
      <c r="BN52" s="228"/>
      <c r="BO52" s="228"/>
      <c r="BP52" s="228"/>
      <c r="BQ52" s="228"/>
      <c r="BR52" s="228"/>
      <c r="BS52" s="228"/>
      <c r="BT52" s="228"/>
      <c r="BU52" s="228"/>
      <c r="BV52" s="228"/>
      <c r="BW52" s="228"/>
      <c r="BX52" s="228"/>
      <c r="BY52" s="228"/>
      <c r="BZ52" s="228"/>
      <c r="CA52" s="228"/>
      <c r="CB52" s="228"/>
      <c r="CC52" s="228"/>
      <c r="CD52" s="228"/>
      <c r="CE52" s="228"/>
      <c r="CF52" s="228"/>
    </row>
    <row r="53" spans="1:85" s="206" customFormat="1">
      <c r="A53" s="212">
        <v>52</v>
      </c>
      <c r="B53" s="212"/>
      <c r="C53" s="212"/>
      <c r="D53" s="697"/>
      <c r="E53" s="695">
        <f>MFC!A53</f>
        <v>0</v>
      </c>
      <c r="F53" s="695">
        <f>MFC!B53</f>
        <v>0</v>
      </c>
      <c r="G53" s="438">
        <f>MFC!C53</f>
        <v>463</v>
      </c>
      <c r="H53" s="699">
        <f>MFC!D53</f>
        <v>0</v>
      </c>
      <c r="I53" s="447" t="str">
        <f>MFC!E53</f>
        <v>More</v>
      </c>
      <c r="J53" s="700" t="s">
        <v>309</v>
      </c>
      <c r="K53" s="450" t="str">
        <f>MFC!F53</f>
        <v>Surface detection System Einsal 24mm + 30/12</v>
      </c>
      <c r="L53" s="451" t="str">
        <f>MFC!G53</f>
        <v>TbP</v>
      </c>
      <c r="M53" s="452" t="str">
        <f>MFC!H53</f>
        <v>EL</v>
      </c>
      <c r="N53" s="451" t="str">
        <f>MFC!I53</f>
        <v>CJMT+S</v>
      </c>
      <c r="O53" s="451">
        <f>MFC!J53</f>
        <v>0</v>
      </c>
      <c r="P53" s="451">
        <f>MFC!K53</f>
        <v>0</v>
      </c>
      <c r="Q53" s="453"/>
      <c r="R53" s="453"/>
      <c r="S53" s="453"/>
      <c r="T53" s="453"/>
      <c r="U53" s="453"/>
      <c r="V53" s="453"/>
      <c r="W53" s="453"/>
      <c r="X53" s="453"/>
      <c r="Y53" s="453"/>
      <c r="Z53" s="453"/>
      <c r="AA53" s="453" t="s">
        <v>236</v>
      </c>
      <c r="AB53" s="453"/>
      <c r="AC53" s="453"/>
      <c r="AD53" s="453" t="s">
        <v>232</v>
      </c>
      <c r="AE53" s="453" t="s">
        <v>233</v>
      </c>
      <c r="AF53" s="453"/>
      <c r="AG53" s="453"/>
      <c r="AH53" s="453"/>
      <c r="AI53" s="453"/>
      <c r="AJ53" s="453"/>
      <c r="AK53" s="453"/>
      <c r="AL53" s="453"/>
      <c r="AM53" s="453"/>
      <c r="AN53" s="453"/>
      <c r="AO53" s="453"/>
      <c r="AP53" s="453"/>
      <c r="AQ53" s="453"/>
      <c r="AR53" s="679">
        <f>MFC!L53</f>
        <v>42796</v>
      </c>
      <c r="AS53" s="679">
        <f>MFC!P53</f>
        <v>42918</v>
      </c>
      <c r="AT53" s="454" t="s">
        <v>284</v>
      </c>
      <c r="AU53" s="455"/>
      <c r="AV53" s="455"/>
      <c r="AW53" s="455"/>
      <c r="AX53" s="455"/>
      <c r="AY53" s="455"/>
      <c r="AZ53" s="455"/>
      <c r="BA53" s="455">
        <v>42912</v>
      </c>
      <c r="BB53" s="455">
        <v>42912</v>
      </c>
      <c r="BC53" s="455">
        <v>42912</v>
      </c>
      <c r="BD53" s="455">
        <v>42919</v>
      </c>
      <c r="BE53" s="455">
        <v>42933</v>
      </c>
      <c r="BF53" s="455">
        <v>42933</v>
      </c>
      <c r="BG53" s="456">
        <f>MFC!Q53</f>
        <v>0</v>
      </c>
      <c r="BH53" s="390" t="s">
        <v>349</v>
      </c>
      <c r="BI53" s="456">
        <f>MFC!R53</f>
        <v>42932</v>
      </c>
      <c r="BJ53" s="456">
        <f>MFC!U53</f>
        <v>42949</v>
      </c>
      <c r="BK53" s="457">
        <f>MFC!W53</f>
        <v>42949</v>
      </c>
      <c r="BL53" s="457">
        <f>MFC!Y53</f>
        <v>42949</v>
      </c>
      <c r="BM53" s="228"/>
      <c r="BN53" s="228"/>
      <c r="BO53" s="228"/>
      <c r="BP53" s="228"/>
      <c r="BQ53" s="228"/>
      <c r="BR53" s="228"/>
      <c r="BS53" s="228"/>
      <c r="BT53" s="228"/>
      <c r="BU53" s="228"/>
      <c r="BV53" s="228"/>
      <c r="BW53" s="228"/>
      <c r="BX53" s="228"/>
      <c r="BY53" s="228"/>
      <c r="BZ53" s="228"/>
      <c r="CA53" s="228"/>
      <c r="CB53" s="228"/>
      <c r="CC53" s="228"/>
      <c r="CD53" s="228"/>
      <c r="CE53" s="228"/>
      <c r="CF53" s="228"/>
    </row>
    <row r="54" spans="1:85" s="206" customFormat="1">
      <c r="A54" s="212">
        <v>53</v>
      </c>
      <c r="B54" s="212"/>
      <c r="C54" s="212"/>
      <c r="D54" s="694" t="s">
        <v>225</v>
      </c>
      <c r="E54" s="695">
        <f>MFC!A54</f>
        <v>0</v>
      </c>
      <c r="F54" s="695">
        <f>MFC!B54</f>
        <v>0</v>
      </c>
      <c r="G54" s="369">
        <f>MFC!C54</f>
        <v>464</v>
      </c>
      <c r="H54" s="701">
        <f>MFC!D54</f>
        <v>0</v>
      </c>
      <c r="I54" s="458" t="str">
        <f>MFC!E54</f>
        <v>GU</v>
      </c>
      <c r="J54" s="459" t="s">
        <v>312</v>
      </c>
      <c r="K54" s="460" t="str">
        <f>MFC!F54</f>
        <v>Reduce measuring freq. loop surface hardness</v>
      </c>
      <c r="L54" s="461" t="str">
        <f>MFC!G54</f>
        <v>TbP, HcP</v>
      </c>
      <c r="M54" s="462" t="str">
        <f>MFC!H54</f>
        <v>LL</v>
      </c>
      <c r="N54" s="369" t="str">
        <f>MFC!I54</f>
        <v>CJMT+S</v>
      </c>
      <c r="O54" s="386">
        <f>MFC!J54</f>
        <v>0</v>
      </c>
      <c r="P54" s="386">
        <f>MFC!K54</f>
        <v>0</v>
      </c>
      <c r="Q54" s="372"/>
      <c r="R54" s="380"/>
      <c r="S54" s="380"/>
      <c r="T54" s="380"/>
      <c r="U54" s="380"/>
      <c r="V54" s="380"/>
      <c r="W54" s="380"/>
      <c r="X54" s="380"/>
      <c r="Y54" s="380"/>
      <c r="Z54" s="380"/>
      <c r="AA54" s="380"/>
      <c r="AB54" s="380"/>
      <c r="AC54" s="380"/>
      <c r="AD54" s="380" t="s">
        <v>236</v>
      </c>
      <c r="AE54" s="392" t="s">
        <v>232</v>
      </c>
      <c r="AF54" s="380"/>
      <c r="AG54" s="380"/>
      <c r="AH54" s="380"/>
      <c r="AI54" s="380"/>
      <c r="AJ54" s="380"/>
      <c r="AK54" s="380" t="s">
        <v>359</v>
      </c>
      <c r="AL54" s="380"/>
      <c r="AM54" s="380"/>
      <c r="AN54" s="380"/>
      <c r="AO54" s="380"/>
      <c r="AP54" s="380"/>
      <c r="AQ54" s="380"/>
      <c r="AR54" s="463">
        <f>MFC!L54</f>
        <v>42856</v>
      </c>
      <c r="AS54" s="678">
        <f>MFC!P54</f>
        <v>43019</v>
      </c>
      <c r="AT54" s="985">
        <v>42969</v>
      </c>
      <c r="AU54" s="374"/>
      <c r="AV54" s="403"/>
      <c r="AW54" s="374"/>
      <c r="AX54" s="374"/>
      <c r="AY54" s="374"/>
      <c r="AZ54" s="374"/>
      <c r="BA54" s="983">
        <v>42968</v>
      </c>
      <c r="BB54" s="990">
        <v>42997</v>
      </c>
      <c r="BC54" s="990">
        <v>42997</v>
      </c>
      <c r="BD54" s="990">
        <v>43012</v>
      </c>
      <c r="BE54" s="647"/>
      <c r="BF54" s="647"/>
      <c r="BG54" s="1067">
        <f>MFC!Q54</f>
        <v>0</v>
      </c>
      <c r="BH54" s="728" t="s">
        <v>166</v>
      </c>
      <c r="BI54" s="1071">
        <f>MFC!R54</f>
        <v>43164</v>
      </c>
      <c r="BJ54" s="1071">
        <f>MFC!U54</f>
        <v>43195</v>
      </c>
      <c r="BK54" s="402">
        <f>MFC!W54</f>
        <v>43195</v>
      </c>
      <c r="BL54" s="1073">
        <f>MFC!Y54</f>
        <v>0</v>
      </c>
      <c r="BM54" s="233"/>
      <c r="BN54" s="233"/>
      <c r="BO54" s="233"/>
      <c r="BP54" s="233"/>
      <c r="BQ54" s="233"/>
      <c r="BR54" s="233"/>
      <c r="BS54" s="233"/>
      <c r="BT54" s="233"/>
      <c r="BU54" s="233"/>
      <c r="BV54" s="233"/>
      <c r="BW54" s="233"/>
      <c r="BX54" s="233"/>
      <c r="BY54" s="233"/>
      <c r="BZ54" s="233"/>
      <c r="CA54" s="233"/>
      <c r="CB54" s="233"/>
      <c r="CC54" s="233"/>
      <c r="CD54" s="234"/>
      <c r="CE54" s="234"/>
      <c r="CF54" s="234"/>
      <c r="CG54" s="715"/>
    </row>
    <row r="55" spans="1:85" s="206" customFormat="1">
      <c r="A55" s="212">
        <v>54</v>
      </c>
      <c r="B55" s="212"/>
      <c r="C55" s="212"/>
      <c r="D55" s="694" t="s">
        <v>225</v>
      </c>
      <c r="E55" s="695">
        <f>MFC!A55</f>
        <v>0</v>
      </c>
      <c r="F55" s="695">
        <f>MFC!B55</f>
        <v>0</v>
      </c>
      <c r="G55" s="369">
        <f>MFC!C55</f>
        <v>476</v>
      </c>
      <c r="H55" s="701">
        <f>MFC!D55</f>
        <v>0</v>
      </c>
      <c r="I55" s="458" t="str">
        <f>MFC!E55</f>
        <v>072</v>
      </c>
      <c r="J55" s="718" t="s">
        <v>461</v>
      </c>
      <c r="K55" s="704" t="str">
        <f>MFC!F55</f>
        <v>PL: Relocate welding 2 from PL3 to PL4</v>
      </c>
      <c r="L55" s="461" t="str">
        <f>MFC!G55</f>
        <v>HcP</v>
      </c>
      <c r="M55" s="689" t="str">
        <f>MFC!H55</f>
        <v>LL</v>
      </c>
      <c r="N55" s="369" t="str">
        <f>MFC!I55</f>
        <v>CJMT+S</v>
      </c>
      <c r="O55" s="386">
        <f>MFC!J55</f>
        <v>0</v>
      </c>
      <c r="P55" s="386">
        <f>MFC!K55</f>
        <v>0</v>
      </c>
      <c r="Q55" s="372"/>
      <c r="R55" s="380"/>
      <c r="S55" s="380"/>
      <c r="T55" s="380"/>
      <c r="U55" s="380"/>
      <c r="V55" s="380"/>
      <c r="W55" s="380"/>
      <c r="X55" s="380"/>
      <c r="Y55" s="380"/>
      <c r="Z55" s="380"/>
      <c r="AA55" s="380"/>
      <c r="AB55" s="380"/>
      <c r="AC55" s="380"/>
      <c r="AD55" s="380"/>
      <c r="AE55" s="380"/>
      <c r="AF55" s="380"/>
      <c r="AG55" s="380"/>
      <c r="AH55" s="380"/>
      <c r="AI55" s="380"/>
      <c r="AJ55" s="380"/>
      <c r="AK55" s="380"/>
      <c r="AL55" s="380"/>
      <c r="AM55" s="380" t="s">
        <v>243</v>
      </c>
      <c r="AN55" s="380" t="s">
        <v>236</v>
      </c>
      <c r="AO55" s="380"/>
      <c r="AP55" s="380"/>
      <c r="AQ55" s="380"/>
      <c r="AR55" s="986">
        <f>MFC!L55</f>
        <v>42898</v>
      </c>
      <c r="AS55" s="1061">
        <f>MFC!P55</f>
        <v>42979</v>
      </c>
      <c r="AT55" s="445"/>
      <c r="AU55" s="374"/>
      <c r="AV55" s="374"/>
      <c r="AW55" s="374"/>
      <c r="AX55" s="374"/>
      <c r="AY55" s="374"/>
      <c r="AZ55" s="374"/>
      <c r="BA55" s="989">
        <v>42950</v>
      </c>
      <c r="BB55" s="989">
        <v>42970</v>
      </c>
      <c r="BC55" s="989">
        <v>42970</v>
      </c>
      <c r="BD55" s="989">
        <v>42979</v>
      </c>
      <c r="BE55" s="726"/>
      <c r="BF55" s="726"/>
      <c r="BG55" s="1067">
        <f>MFC!Q55</f>
        <v>0</v>
      </c>
      <c r="BH55" s="728"/>
      <c r="BI55" s="1071">
        <f>MFC!R55</f>
        <v>0</v>
      </c>
      <c r="BJ55" s="1071">
        <f>MFC!U55</f>
        <v>0</v>
      </c>
      <c r="BK55" s="738" t="str">
        <f>MFC!W55</f>
        <v>tbd</v>
      </c>
      <c r="BL55" s="1073">
        <f>MFC!Y55</f>
        <v>0</v>
      </c>
      <c r="BM55" s="233"/>
      <c r="BN55" s="233"/>
      <c r="BO55" s="233"/>
      <c r="BP55" s="233"/>
      <c r="BQ55" s="233"/>
      <c r="BR55" s="233"/>
      <c r="BS55" s="233"/>
      <c r="BT55" s="233"/>
      <c r="BU55" s="233"/>
      <c r="BV55" s="233"/>
      <c r="BW55" s="233"/>
      <c r="BX55" s="233"/>
      <c r="BY55" s="233"/>
      <c r="BZ55" s="233"/>
      <c r="CA55" s="233"/>
      <c r="CB55" s="233"/>
      <c r="CC55" s="233"/>
      <c r="CD55" s="234"/>
      <c r="CE55" s="234"/>
      <c r="CF55" s="234"/>
      <c r="CG55" s="715"/>
    </row>
    <row r="56" spans="1:85" s="206" customFormat="1">
      <c r="A56" s="212">
        <v>55</v>
      </c>
      <c r="B56" s="212"/>
      <c r="C56" s="212"/>
      <c r="D56" s="694" t="s">
        <v>225</v>
      </c>
      <c r="E56" s="695">
        <f>MFC!A56</f>
        <v>0</v>
      </c>
      <c r="F56" s="695">
        <f>MFC!B56</f>
        <v>0</v>
      </c>
      <c r="G56" s="899">
        <f>MFC!C56</f>
        <v>477</v>
      </c>
      <c r="H56" s="701" t="str">
        <f>MFC!D56</f>
        <v>R</v>
      </c>
      <c r="I56" s="458" t="str">
        <f>MFC!E56</f>
        <v>089</v>
      </c>
      <c r="J56" s="718" t="s">
        <v>290</v>
      </c>
      <c r="K56" s="704" t="str">
        <f>MFC!F56</f>
        <v xml:space="preserve">PL: New welding 5 </v>
      </c>
      <c r="L56" s="461" t="str">
        <f>MFC!G56</f>
        <v>HcP</v>
      </c>
      <c r="M56" s="689" t="str">
        <f>MFC!H56</f>
        <v>LL</v>
      </c>
      <c r="N56" s="369" t="str">
        <f>MFC!I56</f>
        <v>CJMT+S</v>
      </c>
      <c r="O56" s="386">
        <f>MFC!J56</f>
        <v>0</v>
      </c>
      <c r="P56" s="386">
        <f>MFC!K56</f>
        <v>0</v>
      </c>
      <c r="Q56" s="372"/>
      <c r="R56" s="380"/>
      <c r="S56" s="380"/>
      <c r="T56" s="380"/>
      <c r="U56" s="380"/>
      <c r="V56" s="380"/>
      <c r="W56" s="380"/>
      <c r="X56" s="380"/>
      <c r="Y56" s="380"/>
      <c r="Z56" s="380"/>
      <c r="AA56" s="380"/>
      <c r="AB56" s="380"/>
      <c r="AC56" s="380"/>
      <c r="AD56" s="380"/>
      <c r="AE56" s="380"/>
      <c r="AF56" s="380" t="s">
        <v>243</v>
      </c>
      <c r="AG56" s="380" t="s">
        <v>236</v>
      </c>
      <c r="AH56" s="380"/>
      <c r="AI56" s="380"/>
      <c r="AJ56" s="380"/>
      <c r="AK56" s="392" t="s">
        <v>232</v>
      </c>
      <c r="AL56" s="392" t="s">
        <v>233</v>
      </c>
      <c r="AM56" s="380"/>
      <c r="AN56" s="380"/>
      <c r="AO56" s="392" t="s">
        <v>234</v>
      </c>
      <c r="AP56" s="380"/>
      <c r="AQ56" s="380"/>
      <c r="AR56" s="463">
        <f>MFC!L56</f>
        <v>42879</v>
      </c>
      <c r="AS56" s="677">
        <v>42971</v>
      </c>
      <c r="AT56" s="445"/>
      <c r="AU56" s="374"/>
      <c r="AV56" s="374"/>
      <c r="AW56" s="374"/>
      <c r="AX56" s="374"/>
      <c r="AY56" s="374"/>
      <c r="AZ56" s="374"/>
      <c r="BA56" s="989">
        <v>42950</v>
      </c>
      <c r="BB56" s="990">
        <v>42957</v>
      </c>
      <c r="BC56" s="990">
        <v>42957</v>
      </c>
      <c r="BD56" s="990">
        <v>42979</v>
      </c>
      <c r="BE56" s="990">
        <v>43004</v>
      </c>
      <c r="BF56" s="990">
        <v>43004</v>
      </c>
      <c r="BG56" s="407">
        <f>MFC!Q56</f>
        <v>42971</v>
      </c>
      <c r="BH56" s="421">
        <v>42996</v>
      </c>
      <c r="BI56" s="421">
        <f>MFC!R56</f>
        <v>43003</v>
      </c>
      <c r="BJ56" s="421">
        <f>MFC!U56</f>
        <v>43010</v>
      </c>
      <c r="BK56" s="991">
        <f>MFC!W56</f>
        <v>43018</v>
      </c>
      <c r="BL56" s="1013">
        <f>MFC!Y56</f>
        <v>43019</v>
      </c>
      <c r="BM56" s="233"/>
      <c r="BN56" s="233"/>
      <c r="BO56" s="233"/>
      <c r="BP56" s="233"/>
      <c r="BQ56" s="233"/>
      <c r="BR56" s="233"/>
      <c r="BS56" s="233"/>
      <c r="BT56" s="233"/>
      <c r="BU56" s="233"/>
      <c r="BV56" s="233"/>
      <c r="BW56" s="233"/>
      <c r="BX56" s="233"/>
      <c r="BY56" s="233"/>
      <c r="BZ56" s="233"/>
      <c r="CA56" s="233"/>
      <c r="CB56" s="233"/>
      <c r="CC56" s="233"/>
      <c r="CD56" s="234"/>
      <c r="CE56" s="234"/>
      <c r="CF56" s="234"/>
    </row>
    <row r="57" spans="1:85" s="206" customFormat="1">
      <c r="A57" s="212">
        <v>56</v>
      </c>
      <c r="B57" s="212"/>
      <c r="C57" s="212"/>
      <c r="D57" s="694" t="s">
        <v>225</v>
      </c>
      <c r="E57" s="695">
        <f>MFC!A57</f>
        <v>0</v>
      </c>
      <c r="F57" s="695">
        <f>MFC!B57</f>
        <v>0</v>
      </c>
      <c r="G57" s="1042">
        <f>MFC!C57</f>
        <v>478</v>
      </c>
      <c r="H57" s="701" t="str">
        <f>MFC!D57</f>
        <v>R</v>
      </c>
      <c r="I57" s="458" t="str">
        <f>MFC!E57</f>
        <v>089</v>
      </c>
      <c r="J57" s="718" t="s">
        <v>362</v>
      </c>
      <c r="K57" s="704" t="str">
        <f>MFC!F57</f>
        <v>PL: New Pipe washing 2 PL5</v>
      </c>
      <c r="L57" s="461" t="str">
        <f>MFC!G57</f>
        <v>HcP</v>
      </c>
      <c r="M57" s="689" t="str">
        <f>MFC!H57</f>
        <v>LL</v>
      </c>
      <c r="N57" s="369" t="str">
        <f>MFC!I57</f>
        <v>CJMT+S</v>
      </c>
      <c r="O57" s="386">
        <f>MFC!J57</f>
        <v>0</v>
      </c>
      <c r="P57" s="386">
        <f>MFC!K57</f>
        <v>0</v>
      </c>
      <c r="Q57" s="372"/>
      <c r="R57" s="380"/>
      <c r="S57" s="380"/>
      <c r="T57" s="380"/>
      <c r="U57" s="380"/>
      <c r="V57" s="380"/>
      <c r="W57" s="380"/>
      <c r="X57" s="380"/>
      <c r="Y57" s="380"/>
      <c r="Z57" s="380"/>
      <c r="AA57" s="380"/>
      <c r="AB57" s="380"/>
      <c r="AC57" s="380"/>
      <c r="AD57" s="380"/>
      <c r="AE57" s="380"/>
      <c r="AF57" s="380"/>
      <c r="AG57" s="380"/>
      <c r="AH57" s="380" t="s">
        <v>243</v>
      </c>
      <c r="AI57" s="380" t="s">
        <v>236</v>
      </c>
      <c r="AJ57" s="380"/>
      <c r="AK57" s="380"/>
      <c r="AL57" s="380"/>
      <c r="AM57" s="380"/>
      <c r="AN57" s="392" t="s">
        <v>232</v>
      </c>
      <c r="AO57" s="392" t="s">
        <v>233</v>
      </c>
      <c r="AP57" s="380"/>
      <c r="AQ57" s="380"/>
      <c r="AR57" s="987">
        <v>42949</v>
      </c>
      <c r="AS57" s="1009">
        <f>MFC!P57</f>
        <v>42979</v>
      </c>
      <c r="AT57" s="445"/>
      <c r="AU57" s="374"/>
      <c r="AV57" s="374"/>
      <c r="AW57" s="374"/>
      <c r="AX57" s="374"/>
      <c r="AY57" s="374"/>
      <c r="AZ57" s="374"/>
      <c r="BA57" s="989">
        <v>42950</v>
      </c>
      <c r="BB57" s="990">
        <v>42970</v>
      </c>
      <c r="BC57" s="990">
        <v>42970</v>
      </c>
      <c r="BD57" s="990">
        <v>42970</v>
      </c>
      <c r="BE57" s="990">
        <v>43081</v>
      </c>
      <c r="BF57" s="990">
        <v>43081</v>
      </c>
      <c r="BG57" s="407">
        <v>43063</v>
      </c>
      <c r="BH57" s="421">
        <v>43059</v>
      </c>
      <c r="BI57" s="407">
        <v>43067</v>
      </c>
      <c r="BJ57" s="1010">
        <v>43087</v>
      </c>
      <c r="BK57" s="1075">
        <v>43088</v>
      </c>
      <c r="BL57" s="1073">
        <f>MFC!Y57</f>
        <v>0</v>
      </c>
      <c r="BM57" s="233"/>
      <c r="BN57" s="233"/>
      <c r="BO57" s="233"/>
      <c r="BP57" s="233"/>
      <c r="BQ57" s="233"/>
      <c r="BR57" s="233"/>
      <c r="BS57" s="233"/>
      <c r="BT57" s="233"/>
      <c r="BU57" s="233"/>
      <c r="BV57" s="233"/>
      <c r="BW57" s="233"/>
      <c r="BX57" s="233"/>
      <c r="BY57" s="233"/>
      <c r="BZ57" s="233"/>
      <c r="CA57" s="233"/>
      <c r="CB57" s="233"/>
      <c r="CC57" s="233"/>
      <c r="CD57" s="234"/>
      <c r="CE57" s="234"/>
      <c r="CF57" s="234"/>
    </row>
    <row r="58" spans="1:85" s="206" customFormat="1">
      <c r="A58" s="212">
        <v>57</v>
      </c>
      <c r="B58" s="212"/>
      <c r="C58" s="212"/>
      <c r="D58" s="694" t="s">
        <v>225</v>
      </c>
      <c r="E58" s="695">
        <f>MFC!A58</f>
        <v>0</v>
      </c>
      <c r="F58" s="695">
        <f>MFC!B58</f>
        <v>0</v>
      </c>
      <c r="G58" s="369">
        <f>MFC!C58</f>
        <v>479</v>
      </c>
      <c r="H58" s="701">
        <f>MFC!D58</f>
        <v>0</v>
      </c>
      <c r="I58" s="458" t="str">
        <f>MFC!E58</f>
        <v>072</v>
      </c>
      <c r="J58" s="718" t="s">
        <v>364</v>
      </c>
      <c r="K58" s="704" t="str">
        <f>MFC!F58</f>
        <v>PL: Relocate welding 1 from PL3 to PL4</v>
      </c>
      <c r="L58" s="461" t="str">
        <f>MFC!G58</f>
        <v>HcP</v>
      </c>
      <c r="M58" s="689" t="str">
        <f>MFC!H58</f>
        <v>LL</v>
      </c>
      <c r="N58" s="369" t="str">
        <f>MFC!I58</f>
        <v>CJMT+S</v>
      </c>
      <c r="O58" s="386">
        <f>MFC!J58</f>
        <v>0</v>
      </c>
      <c r="P58" s="386">
        <f>MFC!K58</f>
        <v>0</v>
      </c>
      <c r="Q58" s="372"/>
      <c r="R58" s="380"/>
      <c r="S58" s="380"/>
      <c r="T58" s="380"/>
      <c r="U58" s="380"/>
      <c r="V58" s="380"/>
      <c r="W58" s="380"/>
      <c r="X58" s="380"/>
      <c r="Y58" s="380"/>
      <c r="Z58" s="380"/>
      <c r="AA58" s="380"/>
      <c r="AB58" s="380"/>
      <c r="AC58" s="380"/>
      <c r="AD58" s="380"/>
      <c r="AE58" s="380"/>
      <c r="AF58" s="380"/>
      <c r="AG58" s="380"/>
      <c r="AH58" s="380"/>
      <c r="AI58" s="380"/>
      <c r="AJ58" s="380"/>
      <c r="AK58" s="380"/>
      <c r="AL58" s="380"/>
      <c r="AM58" s="380"/>
      <c r="AN58" s="380"/>
      <c r="AO58" s="380"/>
      <c r="AP58" s="380"/>
      <c r="AQ58" s="380"/>
      <c r="AR58" s="988">
        <v>42957</v>
      </c>
      <c r="AS58" s="1061">
        <f>MFC!P58</f>
        <v>0</v>
      </c>
      <c r="AT58" s="445"/>
      <c r="AU58" s="374"/>
      <c r="AV58" s="374"/>
      <c r="AW58" s="374"/>
      <c r="AX58" s="374"/>
      <c r="AY58" s="374"/>
      <c r="AZ58" s="374"/>
      <c r="BA58" s="973">
        <v>42989</v>
      </c>
      <c r="BB58" s="990">
        <v>43019</v>
      </c>
      <c r="BC58" s="990">
        <v>43019</v>
      </c>
      <c r="BD58" s="990">
        <v>43033</v>
      </c>
      <c r="BE58" s="726"/>
      <c r="BF58" s="726"/>
      <c r="BG58" s="1067">
        <f>MFC!Q58</f>
        <v>0</v>
      </c>
      <c r="BH58" s="728"/>
      <c r="BI58" s="1071">
        <f>MFC!R58</f>
        <v>0</v>
      </c>
      <c r="BJ58" s="1071">
        <f>MFC!U58</f>
        <v>0</v>
      </c>
      <c r="BK58" s="738" t="str">
        <f>MFC!W58</f>
        <v>tbd</v>
      </c>
      <c r="BL58" s="1073">
        <f>MFC!Y58</f>
        <v>0</v>
      </c>
      <c r="BM58" s="233"/>
      <c r="BN58" s="233"/>
      <c r="BO58" s="233"/>
      <c r="BP58" s="233"/>
      <c r="BQ58" s="233"/>
      <c r="BR58" s="233"/>
      <c r="BS58" s="233"/>
      <c r="BT58" s="233"/>
      <c r="BU58" s="233"/>
      <c r="BV58" s="233"/>
      <c r="BW58" s="233"/>
      <c r="BX58" s="233"/>
      <c r="BY58" s="233"/>
      <c r="BZ58" s="233"/>
      <c r="CA58" s="233"/>
      <c r="CB58" s="233"/>
      <c r="CC58" s="233"/>
      <c r="CD58" s="234"/>
      <c r="CE58" s="234"/>
      <c r="CF58" s="234"/>
    </row>
    <row r="59" spans="1:85" s="206" customFormat="1">
      <c r="A59" s="212">
        <v>58</v>
      </c>
      <c r="B59" s="212"/>
      <c r="C59" s="212"/>
      <c r="D59" s="694" t="s">
        <v>225</v>
      </c>
      <c r="E59" s="695">
        <f>MFC!A59</f>
        <v>0</v>
      </c>
      <c r="F59" s="695">
        <f>MFC!B59</f>
        <v>0</v>
      </c>
      <c r="G59" s="369">
        <f>MFC!C59</f>
        <v>480</v>
      </c>
      <c r="H59" s="701">
        <f>MFC!D59</f>
        <v>0</v>
      </c>
      <c r="I59" s="458" t="str">
        <f>MFC!E59</f>
        <v>072</v>
      </c>
      <c r="J59" s="718" t="s">
        <v>363</v>
      </c>
      <c r="K59" s="704" t="str">
        <f>MFC!F59</f>
        <v>PL: Relocate Pipe washing from PL3 to PL4</v>
      </c>
      <c r="L59" s="461" t="str">
        <f>MFC!G59</f>
        <v>HcP</v>
      </c>
      <c r="M59" s="689" t="str">
        <f>MFC!H59</f>
        <v>LL</v>
      </c>
      <c r="N59" s="369" t="str">
        <f>MFC!I59</f>
        <v>CJMT+S</v>
      </c>
      <c r="O59" s="386">
        <f>MFC!J59</f>
        <v>0</v>
      </c>
      <c r="P59" s="386">
        <f>MFC!K59</f>
        <v>0</v>
      </c>
      <c r="Q59" s="372"/>
      <c r="R59" s="380"/>
      <c r="S59" s="380"/>
      <c r="T59" s="380"/>
      <c r="U59" s="380"/>
      <c r="V59" s="380"/>
      <c r="W59" s="380"/>
      <c r="X59" s="380"/>
      <c r="Y59" s="380"/>
      <c r="Z59" s="380"/>
      <c r="AA59" s="380"/>
      <c r="AB59" s="380"/>
      <c r="AC59" s="380"/>
      <c r="AD59" s="380"/>
      <c r="AE59" s="380"/>
      <c r="AF59" s="380"/>
      <c r="AG59" s="380"/>
      <c r="AH59" s="380"/>
      <c r="AI59" s="380"/>
      <c r="AJ59" s="380"/>
      <c r="AK59" s="380"/>
      <c r="AL59" s="380"/>
      <c r="AM59" s="380"/>
      <c r="AN59" s="380"/>
      <c r="AO59" s="380"/>
      <c r="AP59" s="380"/>
      <c r="AQ59" s="380"/>
      <c r="AR59" s="463">
        <f>MFC!L59</f>
        <v>42957</v>
      </c>
      <c r="AS59" s="1061">
        <f>MFC!P59</f>
        <v>0</v>
      </c>
      <c r="AT59" s="445"/>
      <c r="AU59" s="374"/>
      <c r="AV59" s="374"/>
      <c r="AW59" s="374"/>
      <c r="AX59" s="374"/>
      <c r="AY59" s="374"/>
      <c r="AZ59" s="374"/>
      <c r="BA59" s="973">
        <v>42989</v>
      </c>
      <c r="BB59" s="990">
        <v>43019</v>
      </c>
      <c r="BC59" s="990">
        <v>43019</v>
      </c>
      <c r="BD59" s="990">
        <v>43033</v>
      </c>
      <c r="BE59" s="726"/>
      <c r="BF59" s="726"/>
      <c r="BG59" s="1067">
        <f>MFC!Q59</f>
        <v>0</v>
      </c>
      <c r="BH59" s="728"/>
      <c r="BI59" s="1071">
        <f>MFC!R59</f>
        <v>0</v>
      </c>
      <c r="BJ59" s="1071">
        <f>MFC!U59</f>
        <v>0</v>
      </c>
      <c r="BK59" s="402" t="str">
        <f>MFC!W59</f>
        <v>tbd</v>
      </c>
      <c r="BL59" s="1073">
        <f>MFC!Y59</f>
        <v>0</v>
      </c>
      <c r="BM59" s="233"/>
      <c r="BN59" s="233"/>
      <c r="BO59" s="233"/>
      <c r="BP59" s="233"/>
      <c r="BQ59" s="233"/>
      <c r="BR59" s="233"/>
      <c r="BS59" s="233"/>
      <c r="BT59" s="233"/>
      <c r="BU59" s="233"/>
      <c r="BV59" s="233"/>
      <c r="BW59" s="233"/>
      <c r="BX59" s="233"/>
      <c r="BY59" s="233"/>
      <c r="BZ59" s="233"/>
      <c r="CA59" s="233"/>
      <c r="CB59" s="233"/>
      <c r="CC59" s="233"/>
      <c r="CD59" s="234"/>
      <c r="CE59" s="234"/>
      <c r="CF59" s="234"/>
    </row>
    <row r="60" spans="1:85" s="206" customFormat="1">
      <c r="A60" s="212">
        <v>59</v>
      </c>
      <c r="B60" s="212"/>
      <c r="C60" s="212"/>
      <c r="D60" s="694" t="s">
        <v>225</v>
      </c>
      <c r="E60" s="695">
        <f>MFC!A60</f>
        <v>0</v>
      </c>
      <c r="F60" s="695">
        <f>MFC!B60</f>
        <v>0</v>
      </c>
      <c r="G60" s="369">
        <f>MFC!C60</f>
        <v>481</v>
      </c>
      <c r="H60" s="701">
        <f>MFC!D60</f>
        <v>0</v>
      </c>
      <c r="I60" s="458" t="str">
        <f>MFC!E60</f>
        <v>GU</v>
      </c>
      <c r="J60" s="718" t="s">
        <v>338</v>
      </c>
      <c r="K60" s="704" t="str">
        <f>MFC!F60</f>
        <v>LL12 release 089 after modifications for SLB</v>
      </c>
      <c r="L60" s="461" t="str">
        <f>MFC!G60</f>
        <v>TbP</v>
      </c>
      <c r="M60" s="689" t="str">
        <f>MFC!H60</f>
        <v>LL12</v>
      </c>
      <c r="N60" s="369" t="str">
        <f>MFC!I60</f>
        <v>CJM+S</v>
      </c>
      <c r="O60" s="386">
        <f>MFC!J60</f>
        <v>0</v>
      </c>
      <c r="P60" s="386">
        <f>MFC!K60</f>
        <v>0</v>
      </c>
      <c r="Q60" s="372"/>
      <c r="R60" s="380"/>
      <c r="S60" s="380"/>
      <c r="T60" s="380"/>
      <c r="U60" s="380"/>
      <c r="V60" s="380"/>
      <c r="W60" s="380"/>
      <c r="X60" s="380"/>
      <c r="Y60" s="380"/>
      <c r="Z60" s="380"/>
      <c r="AA60" s="380"/>
      <c r="AB60" s="380"/>
      <c r="AC60" s="380"/>
      <c r="AD60" s="380"/>
      <c r="AE60" s="380"/>
      <c r="AF60" s="380"/>
      <c r="AG60" s="380"/>
      <c r="AH60" s="380"/>
      <c r="AI60" s="380"/>
      <c r="AJ60" s="380"/>
      <c r="AK60" s="380"/>
      <c r="AL60" s="380"/>
      <c r="AM60" s="380"/>
      <c r="AN60" s="380"/>
      <c r="AO60" s="380"/>
      <c r="AP60" s="380"/>
      <c r="AQ60" s="380"/>
      <c r="AR60" s="463">
        <f>MFC!L60</f>
        <v>42923</v>
      </c>
      <c r="AS60" s="678">
        <v>43006</v>
      </c>
      <c r="AT60" s="1065">
        <v>43052</v>
      </c>
      <c r="AU60" s="374"/>
      <c r="AV60" s="374"/>
      <c r="AW60" s="374"/>
      <c r="AX60" s="374"/>
      <c r="AY60" s="374"/>
      <c r="AZ60" s="374"/>
      <c r="BA60" s="990">
        <v>42983</v>
      </c>
      <c r="BB60" s="990">
        <v>42985</v>
      </c>
      <c r="BC60" s="990">
        <v>42985</v>
      </c>
      <c r="BD60" s="990">
        <v>43004</v>
      </c>
      <c r="BE60" s="726"/>
      <c r="BF60" s="726"/>
      <c r="BG60" s="1067">
        <f>MFC!Q60</f>
        <v>0</v>
      </c>
      <c r="BH60" s="728"/>
      <c r="BI60" s="1071">
        <f>MFC!R60</f>
        <v>0</v>
      </c>
      <c r="BJ60" s="1071">
        <f>MFC!U60</f>
        <v>0</v>
      </c>
      <c r="BK60" s="402" t="str">
        <f>MFC!W60</f>
        <v>tbd</v>
      </c>
      <c r="BL60" s="1073">
        <f>MFC!Y60</f>
        <v>0</v>
      </c>
      <c r="BM60" s="233"/>
      <c r="BN60" s="233"/>
      <c r="BO60" s="233"/>
      <c r="BP60" s="233"/>
      <c r="BQ60" s="233"/>
      <c r="BR60" s="233"/>
      <c r="BS60" s="233"/>
      <c r="BT60" s="233"/>
      <c r="BU60" s="233"/>
      <c r="BV60" s="233"/>
      <c r="BW60" s="233"/>
      <c r="BX60" s="233"/>
      <c r="BY60" s="233"/>
      <c r="BZ60" s="233"/>
      <c r="CA60" s="233"/>
      <c r="CB60" s="233"/>
      <c r="CC60" s="233"/>
      <c r="CD60" s="234"/>
      <c r="CE60" s="234"/>
      <c r="CF60" s="234"/>
    </row>
    <row r="61" spans="1:85" s="206" customFormat="1">
      <c r="A61" s="212">
        <v>60</v>
      </c>
      <c r="B61" s="212"/>
      <c r="C61" s="212"/>
      <c r="D61" s="694"/>
      <c r="E61" s="695">
        <f>MFC!A61</f>
        <v>0</v>
      </c>
      <c r="F61" s="695">
        <f>MFC!B61</f>
        <v>0</v>
      </c>
      <c r="G61" s="369">
        <f>MFC!C61</f>
        <v>483</v>
      </c>
      <c r="H61" s="701">
        <f>MFC!D61</f>
        <v>0</v>
      </c>
      <c r="I61" s="458" t="str">
        <f>MFC!E61</f>
        <v>All</v>
      </c>
      <c r="J61" s="719" t="s">
        <v>339</v>
      </c>
      <c r="K61" s="705" t="str">
        <f>MFC!F61</f>
        <v>Additional Rewinding @Nippon Kinzoku</v>
      </c>
      <c r="L61" s="690" t="str">
        <f>MFC!G61</f>
        <v>HcP</v>
      </c>
      <c r="M61" s="691" t="str">
        <f>MFC!H61</f>
        <v>EL</v>
      </c>
      <c r="N61" s="438" t="str">
        <f>MFC!I61</f>
        <v>CJM+S</v>
      </c>
      <c r="O61" s="438">
        <f>MFC!J61</f>
        <v>0</v>
      </c>
      <c r="P61" s="438">
        <f>MFC!K61</f>
        <v>0</v>
      </c>
      <c r="Q61" s="434"/>
      <c r="R61" s="434"/>
      <c r="S61" s="434"/>
      <c r="T61" s="434"/>
      <c r="U61" s="434"/>
      <c r="V61" s="434"/>
      <c r="W61" s="434"/>
      <c r="X61" s="434"/>
      <c r="Y61" s="434"/>
      <c r="Z61" s="434"/>
      <c r="AA61" s="434"/>
      <c r="AB61" s="434"/>
      <c r="AC61" s="434"/>
      <c r="AD61" s="434"/>
      <c r="AE61" s="434"/>
      <c r="AF61" s="434"/>
      <c r="AG61" s="434"/>
      <c r="AH61" s="434"/>
      <c r="AI61" s="434"/>
      <c r="AJ61" s="434"/>
      <c r="AK61" s="434"/>
      <c r="AL61" s="434"/>
      <c r="AM61" s="434"/>
      <c r="AN61" s="434"/>
      <c r="AO61" s="434"/>
      <c r="AP61" s="434"/>
      <c r="AQ61" s="434"/>
      <c r="AR61" s="680" t="str">
        <f>MFC!L61</f>
        <v>tbd</v>
      </c>
      <c r="AS61" s="664" t="str">
        <f>MFC!P61</f>
        <v>tbd</v>
      </c>
      <c r="AT61" s="464"/>
      <c r="AU61" s="465" t="s">
        <v>341</v>
      </c>
      <c r="AV61" s="435"/>
      <c r="AW61" s="435"/>
      <c r="AX61" s="435"/>
      <c r="AY61" s="435"/>
      <c r="AZ61" s="435"/>
      <c r="BA61" s="435"/>
      <c r="BB61" s="435"/>
      <c r="BC61" s="435"/>
      <c r="BD61" s="435"/>
      <c r="BE61" s="435"/>
      <c r="BF61" s="435"/>
      <c r="BG61" s="436">
        <f>MFC!Q61</f>
        <v>0</v>
      </c>
      <c r="BH61" s="390" t="s">
        <v>349</v>
      </c>
      <c r="BI61" s="436">
        <f>MFC!R61</f>
        <v>0</v>
      </c>
      <c r="BJ61" s="436">
        <f>MFC!U61</f>
        <v>0</v>
      </c>
      <c r="BK61" s="437">
        <f>MFC!W61</f>
        <v>43010</v>
      </c>
      <c r="BL61" s="437">
        <f>MFC!Y61</f>
        <v>43010</v>
      </c>
      <c r="BM61" s="233"/>
      <c r="BN61" s="233"/>
      <c r="BO61" s="233"/>
      <c r="BP61" s="233"/>
      <c r="BQ61" s="233"/>
      <c r="BR61" s="233"/>
      <c r="BS61" s="233"/>
      <c r="BT61" s="233"/>
      <c r="BU61" s="233"/>
      <c r="BV61" s="233"/>
      <c r="BW61" s="233"/>
      <c r="BX61" s="233"/>
      <c r="BY61" s="233"/>
      <c r="BZ61" s="233"/>
      <c r="CA61" s="233"/>
      <c r="CB61" s="233"/>
      <c r="CC61" s="233"/>
      <c r="CD61" s="234"/>
      <c r="CE61" s="234"/>
      <c r="CF61" s="234"/>
    </row>
    <row r="62" spans="1:85" s="206" customFormat="1">
      <c r="A62" s="212">
        <v>61</v>
      </c>
      <c r="B62" s="212"/>
      <c r="C62" s="212"/>
      <c r="D62" s="694"/>
      <c r="E62" s="695">
        <f>MFC!A62</f>
        <v>0</v>
      </c>
      <c r="F62" s="695">
        <f>MFC!B62</f>
        <v>0</v>
      </c>
      <c r="G62" s="369">
        <f>MFC!C62</f>
        <v>484</v>
      </c>
      <c r="H62" s="701">
        <f>MFC!D62</f>
        <v>0</v>
      </c>
      <c r="I62" s="458" t="str">
        <f>MFC!E62</f>
        <v>089</v>
      </c>
      <c r="J62" s="719" t="s">
        <v>340</v>
      </c>
      <c r="K62" s="705" t="str">
        <f>MFC!F62</f>
        <v>LS CKD HcP--&gt;SlpP 089</v>
      </c>
      <c r="L62" s="690" t="str">
        <f>MFC!G62</f>
        <v>HcP</v>
      </c>
      <c r="M62" s="691" t="str">
        <f>MFC!H62</f>
        <v>LC</v>
      </c>
      <c r="N62" s="438" t="str">
        <f>MFC!I62</f>
        <v>M+S</v>
      </c>
      <c r="O62" s="438">
        <f>MFC!J62</f>
        <v>0</v>
      </c>
      <c r="P62" s="438">
        <f>MFC!K62</f>
        <v>0</v>
      </c>
      <c r="Q62" s="434"/>
      <c r="R62" s="434"/>
      <c r="S62" s="434"/>
      <c r="T62" s="434"/>
      <c r="U62" s="434"/>
      <c r="V62" s="434"/>
      <c r="W62" s="434"/>
      <c r="X62" s="434"/>
      <c r="Y62" s="434"/>
      <c r="Z62" s="434"/>
      <c r="AA62" s="434"/>
      <c r="AB62" s="434"/>
      <c r="AC62" s="434"/>
      <c r="AD62" s="434"/>
      <c r="AE62" s="434"/>
      <c r="AF62" s="434"/>
      <c r="AG62" s="434"/>
      <c r="AH62" s="434"/>
      <c r="AI62" s="434"/>
      <c r="AJ62" s="434"/>
      <c r="AK62" s="434"/>
      <c r="AL62" s="434"/>
      <c r="AM62" s="434"/>
      <c r="AN62" s="434"/>
      <c r="AO62" s="434"/>
      <c r="AP62" s="434"/>
      <c r="AQ62" s="434"/>
      <c r="AR62" s="680">
        <f>MFC!L62</f>
        <v>42914</v>
      </c>
      <c r="AS62" s="664">
        <f>MFC!P62</f>
        <v>42931</v>
      </c>
      <c r="AT62" s="464"/>
      <c r="AU62" s="465" t="s">
        <v>342</v>
      </c>
      <c r="AV62" s="435"/>
      <c r="AW62" s="435"/>
      <c r="AX62" s="435"/>
      <c r="AY62" s="435"/>
      <c r="AZ62" s="435"/>
      <c r="BA62" s="435"/>
      <c r="BB62" s="435"/>
      <c r="BC62" s="435"/>
      <c r="BD62" s="435"/>
      <c r="BE62" s="435"/>
      <c r="BF62" s="435"/>
      <c r="BG62" s="436">
        <f>MFC!Q62</f>
        <v>42947</v>
      </c>
      <c r="BH62" s="390" t="s">
        <v>349</v>
      </c>
      <c r="BI62" s="436">
        <f>MFC!R62</f>
        <v>43010</v>
      </c>
      <c r="BJ62" s="436">
        <f>MFC!U62</f>
        <v>43038</v>
      </c>
      <c r="BK62" s="437">
        <f>MFC!W62</f>
        <v>43059</v>
      </c>
      <c r="BL62" s="437">
        <f>MFC!Y62</f>
        <v>43070</v>
      </c>
      <c r="BM62" s="233"/>
      <c r="BN62" s="233"/>
      <c r="BO62" s="233"/>
      <c r="BP62" s="233"/>
      <c r="BQ62" s="233"/>
      <c r="BR62" s="233"/>
      <c r="BS62" s="233"/>
      <c r="BT62" s="233"/>
      <c r="BU62" s="233"/>
      <c r="BV62" s="233"/>
      <c r="BW62" s="233"/>
      <c r="BX62" s="233"/>
      <c r="BY62" s="233"/>
      <c r="BZ62" s="233"/>
      <c r="CA62" s="233"/>
      <c r="CB62" s="233"/>
      <c r="CC62" s="233"/>
      <c r="CD62" s="234"/>
      <c r="CE62" s="234"/>
      <c r="CF62" s="234"/>
    </row>
    <row r="63" spans="1:85" s="206" customFormat="1">
      <c r="A63" s="212">
        <v>62</v>
      </c>
      <c r="B63" s="212"/>
      <c r="C63" s="212"/>
      <c r="D63" s="694" t="s">
        <v>225</v>
      </c>
      <c r="E63" s="695">
        <f>MFC!A63</f>
        <v>0</v>
      </c>
      <c r="F63" s="695">
        <f>MFC!B63</f>
        <v>0</v>
      </c>
      <c r="G63" s="386">
        <f>MFC!C63</f>
        <v>492</v>
      </c>
      <c r="H63" s="702">
        <f>MFC!D63</f>
        <v>0</v>
      </c>
      <c r="I63" s="703" t="str">
        <f>MFC!E63</f>
        <v>GU</v>
      </c>
      <c r="J63" s="725" t="s">
        <v>372</v>
      </c>
      <c r="K63" s="706" t="str">
        <f>MFC!F63</f>
        <v>LL9 LSDH furnace as backup for LL10,11</v>
      </c>
      <c r="L63" s="692" t="str">
        <f>MFC!G63</f>
        <v>HcP</v>
      </c>
      <c r="M63" s="693" t="str">
        <f>MFC!H63</f>
        <v>LL09</v>
      </c>
      <c r="N63" s="386" t="str">
        <f>MFC!I63</f>
        <v>CJMT+S</v>
      </c>
      <c r="O63" s="386">
        <f>MFC!J63</f>
        <v>0</v>
      </c>
      <c r="P63" s="386">
        <f>MFC!K63</f>
        <v>0</v>
      </c>
      <c r="Q63" s="684"/>
      <c r="R63" s="684"/>
      <c r="S63" s="684"/>
      <c r="T63" s="684"/>
      <c r="U63" s="684"/>
      <c r="V63" s="684"/>
      <c r="W63" s="684"/>
      <c r="X63" s="684"/>
      <c r="Y63" s="684"/>
      <c r="Z63" s="684"/>
      <c r="AA63" s="684"/>
      <c r="AB63" s="684"/>
      <c r="AC63" s="684"/>
      <c r="AD63" s="684"/>
      <c r="AE63" s="684"/>
      <c r="AF63" s="684"/>
      <c r="AG63" s="684"/>
      <c r="AH63" s="684"/>
      <c r="AI63" s="684"/>
      <c r="AJ63" s="684"/>
      <c r="AK63" s="684"/>
      <c r="AL63" s="684"/>
      <c r="AM63" s="684"/>
      <c r="AN63" s="684"/>
      <c r="AO63" s="684"/>
      <c r="AP63" s="684"/>
      <c r="AQ63" s="684"/>
      <c r="AR63" s="463">
        <v>42978</v>
      </c>
      <c r="AS63" s="1003">
        <f>MFC!P63</f>
        <v>43143</v>
      </c>
      <c r="AT63" s="686"/>
      <c r="AU63" s="686"/>
      <c r="AV63" s="687"/>
      <c r="AW63" s="687"/>
      <c r="AX63" s="687"/>
      <c r="AY63" s="687"/>
      <c r="AZ63" s="687"/>
      <c r="BA63" s="989">
        <v>43116</v>
      </c>
      <c r="BB63" s="1054">
        <v>43130</v>
      </c>
      <c r="BC63" s="1054">
        <v>43130</v>
      </c>
      <c r="BD63" s="1054">
        <v>43130</v>
      </c>
      <c r="BE63" s="403">
        <v>43186</v>
      </c>
      <c r="BF63" s="403">
        <v>43186</v>
      </c>
      <c r="BG63" s="1067">
        <f>MFC!Q63</f>
        <v>43118</v>
      </c>
      <c r="BH63" s="728"/>
      <c r="BI63" s="682">
        <f>MFC!R63</f>
        <v>43173</v>
      </c>
      <c r="BJ63" s="682">
        <f>MFC!U63</f>
        <v>43221</v>
      </c>
      <c r="BK63" s="683">
        <f>MFC!W63</f>
        <v>43222</v>
      </c>
      <c r="BL63" s="683" t="str">
        <f>MFC!Y63</f>
        <v>NA</v>
      </c>
      <c r="BM63" s="233"/>
      <c r="BN63" s="233"/>
      <c r="BO63" s="233"/>
      <c r="BP63" s="233"/>
      <c r="BQ63" s="233"/>
      <c r="BR63" s="233"/>
      <c r="BS63" s="233"/>
      <c r="BT63" s="233"/>
      <c r="BU63" s="233"/>
      <c r="BV63" s="233"/>
      <c r="BW63" s="233"/>
      <c r="BX63" s="233"/>
      <c r="BY63" s="233"/>
      <c r="BZ63" s="233"/>
      <c r="CA63" s="233"/>
      <c r="CB63" s="233"/>
      <c r="CC63" s="233"/>
      <c r="CD63" s="234"/>
      <c r="CE63" s="234"/>
      <c r="CF63" s="234"/>
    </row>
    <row r="64" spans="1:85" s="206" customFormat="1">
      <c r="A64" s="212">
        <v>63</v>
      </c>
      <c r="B64" s="212"/>
      <c r="C64" s="212"/>
      <c r="D64" s="694" t="s">
        <v>225</v>
      </c>
      <c r="E64" s="695">
        <f>MFC!A64</f>
        <v>0</v>
      </c>
      <c r="F64" s="695">
        <f>MFC!B64</f>
        <v>0</v>
      </c>
      <c r="G64" s="386">
        <f>MFC!C64</f>
        <v>495</v>
      </c>
      <c r="H64" s="702">
        <f>MFC!D64</f>
        <v>0</v>
      </c>
      <c r="I64" s="703" t="str">
        <f>MFC!E64</f>
        <v>072</v>
      </c>
      <c r="J64" s="1107" t="s">
        <v>462</v>
      </c>
      <c r="K64" s="706" t="str">
        <f>MFC!F64</f>
        <v>PL:Relocate  welding 3 within PL4</v>
      </c>
      <c r="L64" s="692" t="str">
        <f>MFC!G64</f>
        <v>HcP</v>
      </c>
      <c r="M64" s="693" t="str">
        <f>MFC!H64</f>
        <v>LL</v>
      </c>
      <c r="N64" s="386" t="str">
        <f>MFC!I64</f>
        <v>CJMT+S</v>
      </c>
      <c r="O64" s="386">
        <f>MFC!J64</f>
        <v>0</v>
      </c>
      <c r="P64" s="386">
        <f>MFC!K64</f>
        <v>0</v>
      </c>
      <c r="Q64" s="684"/>
      <c r="R64" s="684"/>
      <c r="S64" s="684"/>
      <c r="T64" s="684"/>
      <c r="U64" s="684"/>
      <c r="V64" s="684"/>
      <c r="W64" s="684"/>
      <c r="X64" s="684"/>
      <c r="Y64" s="684"/>
      <c r="Z64" s="684"/>
      <c r="AA64" s="684"/>
      <c r="AB64" s="684"/>
      <c r="AC64" s="684"/>
      <c r="AD64" s="684"/>
      <c r="AE64" s="684"/>
      <c r="AF64" s="684"/>
      <c r="AG64" s="684"/>
      <c r="AH64" s="684"/>
      <c r="AI64" s="684"/>
      <c r="AJ64" s="684"/>
      <c r="AK64" s="684"/>
      <c r="AL64" s="684"/>
      <c r="AM64" s="684"/>
      <c r="AN64" s="684"/>
      <c r="AO64" s="684"/>
      <c r="AP64" s="684"/>
      <c r="AQ64" s="684"/>
      <c r="AR64" s="1063">
        <f>MFC!L64</f>
        <v>43028</v>
      </c>
      <c r="AS64" s="1061">
        <f>MFC!P64</f>
        <v>0</v>
      </c>
      <c r="AT64" s="686"/>
      <c r="AU64" s="686"/>
      <c r="AV64" s="687"/>
      <c r="AW64" s="687"/>
      <c r="AX64" s="687"/>
      <c r="AY64" s="687"/>
      <c r="AZ64" s="687"/>
      <c r="BA64" s="687"/>
      <c r="BB64" s="687"/>
      <c r="BC64" s="687"/>
      <c r="BD64" s="687"/>
      <c r="BE64" s="687"/>
      <c r="BF64" s="688"/>
      <c r="BG64" s="1067">
        <f>MFC!Q64</f>
        <v>0</v>
      </c>
      <c r="BH64" s="728"/>
      <c r="BI64" s="1067">
        <f>MFC!R64</f>
        <v>0</v>
      </c>
      <c r="BJ64" s="1067">
        <f>MFC!U64</f>
        <v>0</v>
      </c>
      <c r="BK64" s="683" t="str">
        <f>MFC!W64</f>
        <v>tbd</v>
      </c>
      <c r="BL64" s="1074">
        <f>MFC!Y64</f>
        <v>0</v>
      </c>
      <c r="BM64" s="233"/>
      <c r="BN64" s="233"/>
      <c r="BO64" s="233"/>
      <c r="BP64" s="233"/>
      <c r="BQ64" s="233"/>
      <c r="BR64" s="233"/>
      <c r="BS64" s="233"/>
      <c r="BT64" s="233"/>
      <c r="BU64" s="233"/>
      <c r="BV64" s="233"/>
      <c r="BW64" s="233"/>
      <c r="BX64" s="233"/>
      <c r="BY64" s="233"/>
      <c r="BZ64" s="233"/>
      <c r="CA64" s="233"/>
      <c r="CB64" s="233"/>
      <c r="CC64" s="233"/>
      <c r="CD64" s="234"/>
      <c r="CE64" s="234"/>
      <c r="CF64" s="234"/>
    </row>
    <row r="65" spans="1:84" s="206" customFormat="1" ht="13.5" thickBot="1">
      <c r="A65" s="212">
        <v>64</v>
      </c>
      <c r="B65" s="212"/>
      <c r="C65" s="212"/>
      <c r="D65" s="694" t="s">
        <v>225</v>
      </c>
      <c r="E65" s="695">
        <f>MFC!A65</f>
        <v>0</v>
      </c>
      <c r="F65" s="695">
        <f>MFC!B65</f>
        <v>0</v>
      </c>
      <c r="G65" s="386">
        <f>MFC!C65</f>
        <v>315</v>
      </c>
      <c r="H65" s="702">
        <f>MFC!D65</f>
        <v>0</v>
      </c>
      <c r="I65" s="703" t="str">
        <f>MFC!E65</f>
        <v>GUL</v>
      </c>
      <c r="J65" s="1107" t="s">
        <v>474</v>
      </c>
      <c r="K65" s="706" t="str">
        <f>MFC!F65</f>
        <v>Backup furnace GU light LL06</v>
      </c>
      <c r="L65" s="692" t="str">
        <f>MFC!G65</f>
        <v>HcP</v>
      </c>
      <c r="M65" s="693" t="str">
        <f>MFC!H65</f>
        <v>LL06</v>
      </c>
      <c r="N65" s="386" t="str">
        <f>MFC!I65</f>
        <v>CJMT+S</v>
      </c>
      <c r="O65" s="386">
        <f>MFC!J65</f>
        <v>0</v>
      </c>
      <c r="P65" s="386">
        <f>MFC!K65</f>
        <v>0</v>
      </c>
      <c r="Q65" s="684"/>
      <c r="R65" s="684"/>
      <c r="S65" s="684"/>
      <c r="T65" s="684"/>
      <c r="U65" s="684"/>
      <c r="V65" s="684"/>
      <c r="W65" s="684"/>
      <c r="X65" s="684"/>
      <c r="Y65" s="684"/>
      <c r="Z65" s="684"/>
      <c r="AA65" s="684"/>
      <c r="AB65" s="684"/>
      <c r="AC65" s="684"/>
      <c r="AD65" s="684"/>
      <c r="AE65" s="684"/>
      <c r="AF65" s="684"/>
      <c r="AG65" s="684"/>
      <c r="AH65" s="684"/>
      <c r="AI65" s="684"/>
      <c r="AJ65" s="684"/>
      <c r="AK65" s="684"/>
      <c r="AL65" s="684"/>
      <c r="AM65" s="684"/>
      <c r="AN65" s="684"/>
      <c r="AO65" s="684"/>
      <c r="AP65" s="684"/>
      <c r="AQ65" s="684"/>
      <c r="AR65" s="1063">
        <f>MFC!L65</f>
        <v>43094</v>
      </c>
      <c r="AS65" s="1061">
        <f>MFC!P65</f>
        <v>43096</v>
      </c>
      <c r="AT65" s="686"/>
      <c r="AU65" s="686"/>
      <c r="AV65" s="687"/>
      <c r="AW65" s="687"/>
      <c r="AX65" s="687"/>
      <c r="AY65" s="687"/>
      <c r="AZ65" s="687"/>
      <c r="BA65" s="687"/>
      <c r="BB65" s="687"/>
      <c r="BC65" s="687"/>
      <c r="BD65" s="687"/>
      <c r="BE65" s="1120">
        <v>43165</v>
      </c>
      <c r="BF65" s="1120">
        <v>43165</v>
      </c>
      <c r="BG65" s="1067">
        <f>MFC!Q65</f>
        <v>43125</v>
      </c>
      <c r="BH65" s="728"/>
      <c r="BI65" s="682">
        <f>MFC!R65</f>
        <v>43160</v>
      </c>
      <c r="BJ65" s="682">
        <f>MFC!U65</f>
        <v>43174</v>
      </c>
      <c r="BK65" s="683">
        <f>MFC!W65</f>
        <v>43191</v>
      </c>
      <c r="BL65" s="1074">
        <f>MFC!Y65</f>
        <v>0</v>
      </c>
      <c r="BM65" s="233"/>
      <c r="BN65" s="233"/>
      <c r="BO65" s="233"/>
      <c r="BP65" s="233"/>
      <c r="BQ65" s="233"/>
      <c r="BR65" s="233"/>
      <c r="BS65" s="233"/>
      <c r="BT65" s="233"/>
      <c r="BU65" s="233"/>
      <c r="BV65" s="233"/>
      <c r="BW65" s="233"/>
      <c r="BX65" s="233"/>
      <c r="BY65" s="233"/>
      <c r="BZ65" s="233"/>
      <c r="CA65" s="233"/>
      <c r="CB65" s="233"/>
      <c r="CC65" s="233"/>
      <c r="CD65" s="234"/>
      <c r="CE65" s="234"/>
      <c r="CF65" s="234"/>
    </row>
    <row r="66" spans="1:84" s="206" customFormat="1">
      <c r="A66" s="212">
        <v>65</v>
      </c>
      <c r="B66" s="212"/>
      <c r="C66" s="212"/>
      <c r="D66" s="694" t="s">
        <v>225</v>
      </c>
      <c r="E66" s="695">
        <f>MFC!A66</f>
        <v>0</v>
      </c>
      <c r="F66" s="695">
        <f>MFC!B66</f>
        <v>0</v>
      </c>
      <c r="G66" s="386">
        <f>MFC!C66</f>
        <v>465</v>
      </c>
      <c r="H66" s="702">
        <f>MFC!D66</f>
        <v>0</v>
      </c>
      <c r="I66" s="703" t="str">
        <f>MFC!E66</f>
        <v>089</v>
      </c>
      <c r="J66" s="1107" t="s">
        <v>460</v>
      </c>
      <c r="K66" s="706" t="str">
        <f>MFC!F66</f>
        <v>New AL17 HcP</v>
      </c>
      <c r="L66" s="692" t="str">
        <f>MFC!G66</f>
        <v>HcP</v>
      </c>
      <c r="M66" s="693" t="str">
        <f>MFC!H66</f>
        <v>AL17</v>
      </c>
      <c r="N66" s="386" t="str">
        <f>MFC!I66</f>
        <v>CJM</v>
      </c>
      <c r="O66" s="386">
        <f>MFC!J66</f>
        <v>0</v>
      </c>
      <c r="P66" s="386">
        <f>MFC!K66</f>
        <v>0</v>
      </c>
      <c r="Q66" s="684"/>
      <c r="R66" s="684"/>
      <c r="S66" s="684"/>
      <c r="T66" s="684"/>
      <c r="U66" s="684"/>
      <c r="V66" s="684"/>
      <c r="W66" s="684"/>
      <c r="X66" s="684"/>
      <c r="Y66" s="684"/>
      <c r="Z66" s="684"/>
      <c r="AA66" s="684"/>
      <c r="AB66" s="684"/>
      <c r="AC66" s="684"/>
      <c r="AD66" s="684"/>
      <c r="AE66" s="684"/>
      <c r="AF66" s="684"/>
      <c r="AG66" s="684"/>
      <c r="AH66" s="684"/>
      <c r="AI66" s="684"/>
      <c r="AJ66" s="684"/>
      <c r="AK66" s="684"/>
      <c r="AL66" s="684"/>
      <c r="AM66" s="684"/>
      <c r="AN66" s="684"/>
      <c r="AO66" s="684"/>
      <c r="AP66" s="684"/>
      <c r="AQ66" s="684"/>
      <c r="AR66" s="463">
        <f>MFC!L66</f>
        <v>43041</v>
      </c>
      <c r="AS66" s="1003">
        <f>MFC!P66</f>
        <v>43077</v>
      </c>
      <c r="AT66" s="686"/>
      <c r="AU66" s="686"/>
      <c r="AV66" s="687"/>
      <c r="AW66" s="687"/>
      <c r="AX66" s="687"/>
      <c r="AY66" s="687"/>
      <c r="AZ66" s="687"/>
      <c r="BA66" s="989">
        <v>43046</v>
      </c>
      <c r="BB66" s="989">
        <v>43069</v>
      </c>
      <c r="BC66" s="989">
        <v>43069</v>
      </c>
      <c r="BD66" s="989">
        <v>43076</v>
      </c>
      <c r="BE66" s="687"/>
      <c r="BF66" s="688"/>
      <c r="BG66" s="682">
        <f>MFC!Q66</f>
        <v>43234</v>
      </c>
      <c r="BH66" s="728"/>
      <c r="BI66" s="682">
        <f>MFC!R66</f>
        <v>43262</v>
      </c>
      <c r="BJ66" s="682">
        <f>MFC!U66</f>
        <v>43297</v>
      </c>
      <c r="BK66" s="683">
        <f>MFC!W66</f>
        <v>43297</v>
      </c>
      <c r="BL66" s="683">
        <f>MFC!Y66</f>
        <v>43325</v>
      </c>
      <c r="BM66" s="233"/>
      <c r="BN66" s="233"/>
      <c r="BO66" s="233"/>
      <c r="BP66" s="233"/>
      <c r="BQ66" s="233"/>
      <c r="BR66" s="233"/>
      <c r="BS66" s="233"/>
      <c r="BT66" s="233"/>
      <c r="BU66" s="233"/>
      <c r="BV66" s="233"/>
      <c r="BW66" s="233"/>
      <c r="BX66" s="233"/>
      <c r="BY66" s="233"/>
      <c r="BZ66" s="233"/>
      <c r="CA66" s="233"/>
      <c r="CB66" s="233"/>
      <c r="CC66" s="233"/>
      <c r="CD66" s="234"/>
      <c r="CE66" s="234"/>
      <c r="CF66" s="234"/>
    </row>
    <row r="67" spans="1:84" s="206" customFormat="1">
      <c r="A67" s="212">
        <v>66</v>
      </c>
      <c r="B67" s="212"/>
      <c r="C67" s="212"/>
      <c r="D67" s="694" t="s">
        <v>225</v>
      </c>
      <c r="E67" s="695">
        <f>MFC!A67</f>
        <v>0</v>
      </c>
      <c r="F67" s="695">
        <f>MFC!B67</f>
        <v>0</v>
      </c>
      <c r="G67" s="386">
        <f>MFC!C67</f>
        <v>524</v>
      </c>
      <c r="H67" s="702" t="str">
        <f>MFC!D67</f>
        <v>R</v>
      </c>
      <c r="I67" s="703" t="str">
        <f>MFC!E67</f>
        <v>GU</v>
      </c>
      <c r="J67" s="1107" t="s">
        <v>463</v>
      </c>
      <c r="K67" s="706" t="str">
        <f>MFC!F67</f>
        <v>Aperam: 100% Plate/Pipe inspection</v>
      </c>
      <c r="L67" s="692" t="str">
        <f>MFC!G67</f>
        <v>TbP, HcP</v>
      </c>
      <c r="M67" s="693" t="str">
        <f>MFC!H67</f>
        <v>LL</v>
      </c>
      <c r="N67" s="386">
        <f>MFC!I67</f>
        <v>0</v>
      </c>
      <c r="O67" s="386">
        <f>MFC!J67</f>
        <v>0</v>
      </c>
      <c r="P67" s="386">
        <f>MFC!K67</f>
        <v>0</v>
      </c>
      <c r="Q67" s="684"/>
      <c r="R67" s="684"/>
      <c r="S67" s="684"/>
      <c r="T67" s="684"/>
      <c r="U67" s="684"/>
      <c r="V67" s="684"/>
      <c r="W67" s="684"/>
      <c r="X67" s="684"/>
      <c r="Y67" s="684"/>
      <c r="Z67" s="684"/>
      <c r="AA67" s="684"/>
      <c r="AB67" s="684"/>
      <c r="AC67" s="684"/>
      <c r="AD67" s="684"/>
      <c r="AE67" s="684"/>
      <c r="AF67" s="684"/>
      <c r="AG67" s="684"/>
      <c r="AH67" s="684"/>
      <c r="AI67" s="684"/>
      <c r="AJ67" s="684"/>
      <c r="AK67" s="684"/>
      <c r="AL67" s="684"/>
      <c r="AM67" s="684"/>
      <c r="AN67" s="684"/>
      <c r="AO67" s="684"/>
      <c r="AP67" s="684"/>
      <c r="AQ67" s="684"/>
      <c r="AR67" s="1017">
        <v>43055</v>
      </c>
      <c r="AS67" s="1003">
        <f>MFC!P67</f>
        <v>43056</v>
      </c>
      <c r="AT67" s="686"/>
      <c r="AU67" s="686"/>
      <c r="AV67" s="687"/>
      <c r="AW67" s="687"/>
      <c r="AX67" s="687"/>
      <c r="AY67" s="687"/>
      <c r="AZ67" s="687"/>
      <c r="BA67" s="1016"/>
      <c r="BB67" s="989">
        <v>43056</v>
      </c>
      <c r="BC67" s="989">
        <v>43056</v>
      </c>
      <c r="BD67" s="989">
        <v>43056</v>
      </c>
      <c r="BE67" s="989">
        <v>43061</v>
      </c>
      <c r="BF67" s="989">
        <v>43061</v>
      </c>
      <c r="BG67" s="1067">
        <f>MFC!Q67</f>
        <v>0</v>
      </c>
      <c r="BH67" s="728"/>
      <c r="BI67" s="1018">
        <f>MFC!R67</f>
        <v>43059</v>
      </c>
      <c r="BJ67" s="1018">
        <f>MFC!U67</f>
        <v>43061</v>
      </c>
      <c r="BK67" s="1074">
        <f>MFC!W67</f>
        <v>0</v>
      </c>
      <c r="BL67" s="1074">
        <f>MFC!Y67</f>
        <v>0</v>
      </c>
      <c r="BM67" s="233"/>
      <c r="BN67" s="233"/>
      <c r="BO67" s="233"/>
      <c r="BP67" s="233"/>
      <c r="BQ67" s="233"/>
      <c r="BR67" s="233"/>
      <c r="BS67" s="233"/>
      <c r="BT67" s="233"/>
      <c r="BU67" s="233"/>
      <c r="BV67" s="233"/>
      <c r="BW67" s="233"/>
      <c r="BX67" s="233"/>
      <c r="BY67" s="233"/>
      <c r="BZ67" s="233"/>
      <c r="CA67" s="233"/>
      <c r="CB67" s="233"/>
      <c r="CC67" s="233"/>
      <c r="CD67" s="234"/>
      <c r="CE67" s="234"/>
      <c r="CF67" s="234"/>
    </row>
    <row r="68" spans="1:84" s="206" customFormat="1">
      <c r="A68" s="212">
        <v>67</v>
      </c>
      <c r="B68" s="212"/>
      <c r="C68" s="212"/>
      <c r="D68" s="694" t="s">
        <v>225</v>
      </c>
      <c r="E68" s="695">
        <f>MFC!A68</f>
        <v>0</v>
      </c>
      <c r="F68" s="695">
        <f>MFC!B68</f>
        <v>0</v>
      </c>
      <c r="G68" s="386">
        <f>MFC!C68</f>
        <v>525</v>
      </c>
      <c r="H68" s="702">
        <f>MFC!D68</f>
        <v>0</v>
      </c>
      <c r="I68" s="703" t="str">
        <f>MFC!E68</f>
        <v>GU</v>
      </c>
      <c r="J68" s="1107" t="s">
        <v>466</v>
      </c>
      <c r="K68" s="706" t="str">
        <f>MFC!F68</f>
        <v>Aperam: Sort out irregularity on pipe</v>
      </c>
      <c r="L68" s="692" t="str">
        <f>MFC!G68</f>
        <v>TbP, HcP</v>
      </c>
      <c r="M68" s="693" t="str">
        <f>MFC!H68</f>
        <v>LL</v>
      </c>
      <c r="N68" s="386">
        <f>MFC!I68</f>
        <v>0</v>
      </c>
      <c r="O68" s="386">
        <f>MFC!J68</f>
        <v>0</v>
      </c>
      <c r="P68" s="386">
        <f>MFC!K68</f>
        <v>0</v>
      </c>
      <c r="Q68" s="684"/>
      <c r="R68" s="684"/>
      <c r="S68" s="684"/>
      <c r="T68" s="684"/>
      <c r="U68" s="684"/>
      <c r="V68" s="684"/>
      <c r="W68" s="684"/>
      <c r="X68" s="684"/>
      <c r="Y68" s="684"/>
      <c r="Z68" s="684"/>
      <c r="AA68" s="684"/>
      <c r="AB68" s="684"/>
      <c r="AC68" s="684"/>
      <c r="AD68" s="684"/>
      <c r="AE68" s="684"/>
      <c r="AF68" s="684"/>
      <c r="AG68" s="684"/>
      <c r="AH68" s="684"/>
      <c r="AI68" s="684"/>
      <c r="AJ68" s="684"/>
      <c r="AK68" s="684"/>
      <c r="AL68" s="684"/>
      <c r="AM68" s="684"/>
      <c r="AN68" s="684"/>
      <c r="AO68" s="684"/>
      <c r="AP68" s="684"/>
      <c r="AQ68" s="684"/>
      <c r="AR68" s="1017">
        <f>MFC!L68</f>
        <v>43056</v>
      </c>
      <c r="AS68" s="1061">
        <f>MFC!P68</f>
        <v>0</v>
      </c>
      <c r="AT68" s="686"/>
      <c r="AU68" s="686"/>
      <c r="AV68" s="687"/>
      <c r="AW68" s="687"/>
      <c r="AX68" s="687"/>
      <c r="AY68" s="687"/>
      <c r="AZ68" s="687"/>
      <c r="BA68" s="374"/>
      <c r="BB68" s="989">
        <v>43059</v>
      </c>
      <c r="BC68" s="989">
        <v>43059</v>
      </c>
      <c r="BD68" s="989">
        <v>43059</v>
      </c>
      <c r="BE68" s="687"/>
      <c r="BF68" s="688"/>
      <c r="BG68" s="1067">
        <f>MFC!Q68</f>
        <v>0</v>
      </c>
      <c r="BH68" s="728"/>
      <c r="BI68" s="1067">
        <f>MFC!R68</f>
        <v>0</v>
      </c>
      <c r="BJ68" s="1067">
        <f>MFC!U68</f>
        <v>0</v>
      </c>
      <c r="BK68" s="1074">
        <f>MFC!W68</f>
        <v>0</v>
      </c>
      <c r="BL68" s="1074">
        <f>MFC!Y68</f>
        <v>0</v>
      </c>
      <c r="BM68" s="233"/>
      <c r="BN68" s="233"/>
      <c r="BO68" s="233"/>
      <c r="BP68" s="233"/>
      <c r="BQ68" s="233"/>
      <c r="BR68" s="233"/>
      <c r="BS68" s="233"/>
      <c r="BT68" s="233"/>
      <c r="BU68" s="233"/>
      <c r="BV68" s="233"/>
      <c r="BW68" s="233"/>
      <c r="BX68" s="233"/>
      <c r="BY68" s="233"/>
      <c r="BZ68" s="233"/>
      <c r="CA68" s="233"/>
      <c r="CB68" s="233"/>
      <c r="CC68" s="233"/>
      <c r="CD68" s="234"/>
      <c r="CE68" s="234"/>
      <c r="CF68" s="234"/>
    </row>
    <row r="69" spans="1:84" s="206" customFormat="1">
      <c r="A69" s="212">
        <v>68</v>
      </c>
      <c r="B69" s="212"/>
      <c r="C69" s="212"/>
      <c r="D69" s="694" t="s">
        <v>225</v>
      </c>
      <c r="E69" s="695">
        <f>MFC!A69</f>
        <v>0</v>
      </c>
      <c r="F69" s="695">
        <f>MFC!B69</f>
        <v>0</v>
      </c>
      <c r="G69" s="386">
        <f>MFC!C69</f>
        <v>526</v>
      </c>
      <c r="H69" s="702" t="str">
        <f>MFC!D69</f>
        <v>R</v>
      </c>
      <c r="I69" s="703" t="str">
        <f>MFC!E69</f>
        <v>GU</v>
      </c>
      <c r="J69" s="1107" t="s">
        <v>465</v>
      </c>
      <c r="K69" s="706" t="str">
        <f>MFC!F69</f>
        <v>Aperam: Longer annealing time</v>
      </c>
      <c r="L69" s="692" t="str">
        <f>MFC!G69</f>
        <v>TbP, HcP</v>
      </c>
      <c r="M69" s="693" t="str">
        <f>MFC!H69</f>
        <v>LL</v>
      </c>
      <c r="N69" s="386">
        <f>MFC!I69</f>
        <v>0</v>
      </c>
      <c r="O69" s="386">
        <f>MFC!J69</f>
        <v>0</v>
      </c>
      <c r="P69" s="386">
        <f>MFC!K69</f>
        <v>0</v>
      </c>
      <c r="Q69" s="684"/>
      <c r="R69" s="684"/>
      <c r="S69" s="684"/>
      <c r="T69" s="684"/>
      <c r="U69" s="684"/>
      <c r="V69" s="684"/>
      <c r="W69" s="684"/>
      <c r="X69" s="684"/>
      <c r="Y69" s="684"/>
      <c r="Z69" s="684"/>
      <c r="AA69" s="684"/>
      <c r="AB69" s="684"/>
      <c r="AC69" s="684"/>
      <c r="AD69" s="684"/>
      <c r="AE69" s="684"/>
      <c r="AF69" s="684"/>
      <c r="AG69" s="684"/>
      <c r="AH69" s="684"/>
      <c r="AI69" s="684"/>
      <c r="AJ69" s="684"/>
      <c r="AK69" s="684"/>
      <c r="AL69" s="684"/>
      <c r="AM69" s="684"/>
      <c r="AN69" s="684"/>
      <c r="AO69" s="684"/>
      <c r="AP69" s="684"/>
      <c r="AQ69" s="684"/>
      <c r="AR69" s="1017">
        <f>MFC!L69</f>
        <v>43059</v>
      </c>
      <c r="AS69" s="1003">
        <f>MFC!P69</f>
        <v>43075</v>
      </c>
      <c r="AT69" s="686"/>
      <c r="AU69" s="686"/>
      <c r="AV69" s="687"/>
      <c r="AW69" s="687"/>
      <c r="AX69" s="687"/>
      <c r="AY69" s="687"/>
      <c r="AZ69" s="687"/>
      <c r="BA69" s="374"/>
      <c r="BB69" s="989">
        <v>43060</v>
      </c>
      <c r="BC69" s="989">
        <v>43060</v>
      </c>
      <c r="BD69" s="989">
        <v>43060</v>
      </c>
      <c r="BE69" s="989">
        <v>43077</v>
      </c>
      <c r="BF69" s="989">
        <v>43077</v>
      </c>
      <c r="BG69" s="1067">
        <f>MFC!Q69</f>
        <v>0</v>
      </c>
      <c r="BH69" s="728"/>
      <c r="BI69" s="1018">
        <f>MFC!R69</f>
        <v>43075</v>
      </c>
      <c r="BJ69" s="1018">
        <f>MFC!U69</f>
        <v>43077</v>
      </c>
      <c r="BK69" s="1074">
        <f>MFC!W69</f>
        <v>0</v>
      </c>
      <c r="BL69" s="1074">
        <f>MFC!Y69</f>
        <v>0</v>
      </c>
      <c r="BM69" s="233"/>
      <c r="BN69" s="233"/>
      <c r="BO69" s="233"/>
      <c r="BP69" s="233"/>
      <c r="BQ69" s="233"/>
      <c r="BR69" s="233"/>
      <c r="BS69" s="233"/>
      <c r="BT69" s="233"/>
      <c r="BU69" s="233"/>
      <c r="BV69" s="233"/>
      <c r="BW69" s="233"/>
      <c r="BX69" s="233"/>
      <c r="BY69" s="233"/>
      <c r="BZ69" s="233"/>
      <c r="CA69" s="233"/>
      <c r="CB69" s="233"/>
      <c r="CC69" s="233"/>
      <c r="CD69" s="234"/>
      <c r="CE69" s="234"/>
      <c r="CF69" s="234"/>
    </row>
    <row r="70" spans="1:84" s="206" customFormat="1">
      <c r="A70" s="212">
        <v>69</v>
      </c>
      <c r="B70" s="212"/>
      <c r="C70" s="212"/>
      <c r="D70" s="694" t="s">
        <v>225</v>
      </c>
      <c r="E70" s="695">
        <f>MFC!A70</f>
        <v>0</v>
      </c>
      <c r="F70" s="695">
        <f>MFC!B70</f>
        <v>0</v>
      </c>
      <c r="G70" s="386">
        <f>MFC!C70</f>
        <v>527</v>
      </c>
      <c r="H70" s="702">
        <f>MFC!D70</f>
        <v>0</v>
      </c>
      <c r="I70" s="703" t="str">
        <f>MFC!E70</f>
        <v>GU</v>
      </c>
      <c r="J70" s="1107" t="s">
        <v>464</v>
      </c>
      <c r="K70" s="706" t="str">
        <f>MFC!F70</f>
        <v>Aperam: 100% check of blocked belts</v>
      </c>
      <c r="L70" s="692" t="str">
        <f>MFC!G70</f>
        <v>HcP</v>
      </c>
      <c r="M70" s="693" t="str">
        <f>MFC!H70</f>
        <v>LL</v>
      </c>
      <c r="N70" s="386">
        <f>MFC!I70</f>
        <v>0</v>
      </c>
      <c r="O70" s="386">
        <f>MFC!J70</f>
        <v>0</v>
      </c>
      <c r="P70" s="386">
        <f>MFC!K70</f>
        <v>0</v>
      </c>
      <c r="Q70" s="684"/>
      <c r="R70" s="684"/>
      <c r="S70" s="684"/>
      <c r="T70" s="684"/>
      <c r="U70" s="684"/>
      <c r="V70" s="684"/>
      <c r="W70" s="684"/>
      <c r="X70" s="684"/>
      <c r="Y70" s="684"/>
      <c r="Z70" s="684"/>
      <c r="AA70" s="684"/>
      <c r="AB70" s="684"/>
      <c r="AC70" s="684"/>
      <c r="AD70" s="684"/>
      <c r="AE70" s="684"/>
      <c r="AF70" s="684"/>
      <c r="AG70" s="684"/>
      <c r="AH70" s="684"/>
      <c r="AI70" s="684"/>
      <c r="AJ70" s="684"/>
      <c r="AK70" s="684"/>
      <c r="AL70" s="684"/>
      <c r="AM70" s="684"/>
      <c r="AN70" s="684"/>
      <c r="AO70" s="684"/>
      <c r="AP70" s="684"/>
      <c r="AQ70" s="684"/>
      <c r="AR70" s="1063">
        <f>MFC!L70</f>
        <v>0</v>
      </c>
      <c r="AS70" s="1061">
        <f>MFC!P70</f>
        <v>0</v>
      </c>
      <c r="AT70" s="686"/>
      <c r="AU70" s="686"/>
      <c r="AV70" s="687"/>
      <c r="AW70" s="687"/>
      <c r="AX70" s="687"/>
      <c r="AY70" s="687"/>
      <c r="AZ70" s="687"/>
      <c r="BA70" s="374"/>
      <c r="BB70" s="989">
        <v>43094</v>
      </c>
      <c r="BC70" s="989">
        <v>43094</v>
      </c>
      <c r="BD70" s="989">
        <v>43095</v>
      </c>
      <c r="BE70" s="989">
        <v>42747</v>
      </c>
      <c r="BF70" s="989">
        <v>42747</v>
      </c>
      <c r="BG70" s="1067">
        <f>MFC!Q70</f>
        <v>0</v>
      </c>
      <c r="BH70" s="728"/>
      <c r="BI70" s="1067">
        <f>MFC!R70</f>
        <v>0</v>
      </c>
      <c r="BJ70" s="1067">
        <f>MFC!U70</f>
        <v>0</v>
      </c>
      <c r="BK70" s="1074">
        <f>MFC!W70</f>
        <v>0</v>
      </c>
      <c r="BL70" s="1074">
        <f>MFC!Y70</f>
        <v>0</v>
      </c>
      <c r="BM70" s="233"/>
      <c r="BN70" s="233"/>
      <c r="BO70" s="233"/>
      <c r="BP70" s="233"/>
      <c r="BQ70" s="233"/>
      <c r="BR70" s="233"/>
      <c r="BS70" s="233"/>
      <c r="BT70" s="233"/>
      <c r="BU70" s="233"/>
      <c r="BV70" s="233"/>
      <c r="BW70" s="233"/>
      <c r="BX70" s="233"/>
      <c r="BY70" s="233"/>
      <c r="BZ70" s="233"/>
      <c r="CA70" s="233"/>
      <c r="CB70" s="233"/>
      <c r="CC70" s="233"/>
      <c r="CD70" s="234"/>
      <c r="CE70" s="234"/>
      <c r="CF70" s="234"/>
    </row>
    <row r="71" spans="1:84" s="206" customFormat="1">
      <c r="A71" s="212">
        <v>70</v>
      </c>
      <c r="B71" s="212"/>
      <c r="C71" s="212"/>
      <c r="D71" s="694" t="s">
        <v>225</v>
      </c>
      <c r="E71" s="695">
        <f>MFC!A71</f>
        <v>0</v>
      </c>
      <c r="F71" s="695">
        <f>MFC!B71</f>
        <v>0</v>
      </c>
      <c r="G71" s="386">
        <f>MFC!C71</f>
        <v>534</v>
      </c>
      <c r="H71" s="702">
        <f>MFC!D71</f>
        <v>0</v>
      </c>
      <c r="I71" s="703" t="str">
        <f>MFC!E71</f>
        <v>GUL</v>
      </c>
      <c r="J71" s="1107" t="s">
        <v>473</v>
      </c>
      <c r="K71" s="706" t="str">
        <f>MFC!F71</f>
        <v>LL9 Release for GU-Light 078 094</v>
      </c>
      <c r="L71" s="692" t="str">
        <f>MFC!G71</f>
        <v>HcP</v>
      </c>
      <c r="M71" s="693" t="str">
        <f>MFC!H71</f>
        <v>LL09</v>
      </c>
      <c r="N71" s="386" t="str">
        <f>MFC!I71</f>
        <v>CJMT+S</v>
      </c>
      <c r="O71" s="386">
        <f>MFC!J71</f>
        <v>0</v>
      </c>
      <c r="P71" s="386">
        <f>MFC!K71</f>
        <v>0</v>
      </c>
      <c r="Q71" s="684"/>
      <c r="R71" s="684"/>
      <c r="S71" s="684"/>
      <c r="T71" s="684"/>
      <c r="U71" s="684"/>
      <c r="V71" s="684"/>
      <c r="W71" s="684"/>
      <c r="X71" s="684"/>
      <c r="Y71" s="684"/>
      <c r="Z71" s="684"/>
      <c r="AA71" s="684"/>
      <c r="AB71" s="684"/>
      <c r="AC71" s="684"/>
      <c r="AD71" s="684"/>
      <c r="AE71" s="684"/>
      <c r="AF71" s="684"/>
      <c r="AG71" s="684"/>
      <c r="AH71" s="684"/>
      <c r="AI71" s="684"/>
      <c r="AJ71" s="684"/>
      <c r="AK71" s="684"/>
      <c r="AL71" s="684"/>
      <c r="AM71" s="684"/>
      <c r="AN71" s="684"/>
      <c r="AO71" s="684"/>
      <c r="AP71" s="684"/>
      <c r="AQ71" s="684"/>
      <c r="AR71" s="1063">
        <f>MFC!L71</f>
        <v>0</v>
      </c>
      <c r="AS71" s="1061">
        <f>MFC!P71</f>
        <v>0</v>
      </c>
      <c r="AT71" s="686"/>
      <c r="AU71" s="686"/>
      <c r="AV71" s="687"/>
      <c r="AW71" s="687"/>
      <c r="AX71" s="687"/>
      <c r="AY71" s="687"/>
      <c r="AZ71" s="687"/>
      <c r="BA71" s="374"/>
      <c r="BB71" s="403"/>
      <c r="BC71" s="403"/>
      <c r="BD71" s="403"/>
      <c r="BE71" s="403"/>
      <c r="BF71" s="403"/>
      <c r="BG71" s="1067">
        <f>MFC!Q71</f>
        <v>0</v>
      </c>
      <c r="BH71" s="728"/>
      <c r="BI71" s="1067">
        <f>MFC!R71</f>
        <v>0</v>
      </c>
      <c r="BJ71" s="1067">
        <f>MFC!U71</f>
        <v>0</v>
      </c>
      <c r="BK71" s="683">
        <f>MFC!W71</f>
        <v>43466</v>
      </c>
      <c r="BL71" s="1074">
        <f>MFC!Y71</f>
        <v>0</v>
      </c>
      <c r="BM71" s="233"/>
      <c r="BN71" s="233"/>
      <c r="BO71" s="233"/>
      <c r="BP71" s="233"/>
      <c r="BQ71" s="233"/>
      <c r="BR71" s="233"/>
      <c r="BS71" s="233"/>
      <c r="BT71" s="233"/>
      <c r="BU71" s="233"/>
      <c r="BV71" s="233"/>
      <c r="BW71" s="233"/>
      <c r="BX71" s="233"/>
      <c r="BY71" s="233"/>
      <c r="BZ71" s="233"/>
      <c r="CA71" s="233"/>
      <c r="CB71" s="233"/>
      <c r="CC71" s="233"/>
      <c r="CD71" s="234"/>
      <c r="CE71" s="234"/>
      <c r="CF71" s="234"/>
    </row>
    <row r="72" spans="1:84" s="206" customFormat="1">
      <c r="A72" s="212">
        <v>71</v>
      </c>
      <c r="B72" s="212"/>
      <c r="C72" s="212"/>
      <c r="D72" s="694" t="s">
        <v>225</v>
      </c>
      <c r="E72" s="695">
        <f>MFC!A72</f>
        <v>0</v>
      </c>
      <c r="F72" s="695">
        <f>MFC!B72</f>
        <v>0</v>
      </c>
      <c r="G72" s="386">
        <f>MFC!C72</f>
        <v>370</v>
      </c>
      <c r="H72" s="702">
        <f>MFC!D72</f>
        <v>0</v>
      </c>
      <c r="I72" s="703" t="str">
        <f>MFC!E72</f>
        <v>078</v>
      </c>
      <c r="J72" s="1107" t="s">
        <v>472</v>
      </c>
      <c r="K72" s="706" t="str">
        <f>MFC!F72</f>
        <v xml:space="preserve">LL6 release for GU-Light </v>
      </c>
      <c r="L72" s="692" t="str">
        <f>MFC!G72</f>
        <v>HcP</v>
      </c>
      <c r="M72" s="693" t="str">
        <f>MFC!H72</f>
        <v>LL06</v>
      </c>
      <c r="N72" s="386" t="str">
        <f>MFC!I72</f>
        <v>CJMT+S</v>
      </c>
      <c r="O72" s="386">
        <f>MFC!J72</f>
        <v>0</v>
      </c>
      <c r="P72" s="386">
        <f>MFC!K72</f>
        <v>0</v>
      </c>
      <c r="Q72" s="684"/>
      <c r="R72" s="684"/>
      <c r="S72" s="684"/>
      <c r="T72" s="684"/>
      <c r="U72" s="684"/>
      <c r="V72" s="684"/>
      <c r="W72" s="684"/>
      <c r="X72" s="684"/>
      <c r="Y72" s="684"/>
      <c r="Z72" s="684"/>
      <c r="AA72" s="684"/>
      <c r="AB72" s="684"/>
      <c r="AC72" s="684"/>
      <c r="AD72" s="684"/>
      <c r="AE72" s="684"/>
      <c r="AF72" s="684"/>
      <c r="AG72" s="684"/>
      <c r="AH72" s="684"/>
      <c r="AI72" s="684"/>
      <c r="AJ72" s="684"/>
      <c r="AK72" s="684"/>
      <c r="AL72" s="684"/>
      <c r="AM72" s="684"/>
      <c r="AN72" s="684"/>
      <c r="AO72" s="684"/>
      <c r="AP72" s="684"/>
      <c r="AQ72" s="684"/>
      <c r="AR72" s="463">
        <f>MFC!L72</f>
        <v>43140</v>
      </c>
      <c r="AS72" s="685">
        <f>MFC!P72</f>
        <v>43174</v>
      </c>
      <c r="AT72" s="686"/>
      <c r="AU72" s="686"/>
      <c r="AV72" s="687"/>
      <c r="AW72" s="687"/>
      <c r="AX72" s="687"/>
      <c r="AY72" s="687"/>
      <c r="AZ72" s="687"/>
      <c r="BA72" s="403"/>
      <c r="BB72" s="403">
        <v>43180</v>
      </c>
      <c r="BC72" s="403">
        <v>43180</v>
      </c>
      <c r="BD72" s="403">
        <v>43180</v>
      </c>
      <c r="BE72" s="374">
        <v>43297</v>
      </c>
      <c r="BF72" s="374">
        <v>43297</v>
      </c>
      <c r="BG72" s="682">
        <f>MFC!Q72</f>
        <v>43213</v>
      </c>
      <c r="BH72" s="728"/>
      <c r="BI72" s="682">
        <f>MFC!R72</f>
        <v>43280</v>
      </c>
      <c r="BJ72" s="682">
        <f>MFC!U72</f>
        <v>43308</v>
      </c>
      <c r="BK72" s="683">
        <f>MFC!W72</f>
        <v>43313</v>
      </c>
      <c r="BL72" s="1074">
        <f>MFC!Y72</f>
        <v>0</v>
      </c>
      <c r="BM72" s="233"/>
      <c r="BN72" s="233"/>
      <c r="BO72" s="233"/>
      <c r="BP72" s="233"/>
      <c r="BQ72" s="233"/>
      <c r="BR72" s="233"/>
      <c r="BS72" s="233"/>
      <c r="BT72" s="233"/>
      <c r="BU72" s="233"/>
      <c r="BV72" s="233"/>
      <c r="BW72" s="233"/>
      <c r="BX72" s="233"/>
      <c r="BY72" s="233"/>
      <c r="BZ72" s="233"/>
      <c r="CA72" s="233"/>
      <c r="CB72" s="233"/>
      <c r="CC72" s="233"/>
      <c r="CD72" s="234"/>
      <c r="CE72" s="234"/>
      <c r="CF72" s="234"/>
    </row>
    <row r="73" spans="1:84" s="206" customFormat="1">
      <c r="A73" s="212">
        <v>72</v>
      </c>
      <c r="B73" s="212"/>
      <c r="C73" s="212"/>
      <c r="D73" s="694" t="s">
        <v>225</v>
      </c>
      <c r="E73" s="695">
        <f>MFC!A73</f>
        <v>0</v>
      </c>
      <c r="F73" s="695">
        <f>MFC!B73</f>
        <v>0</v>
      </c>
      <c r="G73" s="386">
        <f>MFC!C73</f>
        <v>280</v>
      </c>
      <c r="H73" s="702">
        <f>MFC!D73</f>
        <v>0</v>
      </c>
      <c r="I73" s="703" t="str">
        <f>MFC!E73</f>
        <v>094</v>
      </c>
      <c r="J73" s="1107" t="s">
        <v>471</v>
      </c>
      <c r="K73" s="706" t="str">
        <f>MFC!F73</f>
        <v>AVO GUL incl EL CKD from HcP and TbP</v>
      </c>
      <c r="L73" s="692" t="str">
        <f>MFC!G73</f>
        <v>SlpP</v>
      </c>
      <c r="M73" s="693" t="str">
        <f>MFC!H73</f>
        <v>AL</v>
      </c>
      <c r="N73" s="386" t="str">
        <f>MFC!I73</f>
        <v>CJMT+S</v>
      </c>
      <c r="O73" s="386">
        <f>MFC!J73</f>
        <v>0</v>
      </c>
      <c r="P73" s="386">
        <f>MFC!K73</f>
        <v>0</v>
      </c>
      <c r="Q73" s="684"/>
      <c r="R73" s="684"/>
      <c r="S73" s="684"/>
      <c r="T73" s="684"/>
      <c r="U73" s="684"/>
      <c r="V73" s="684"/>
      <c r="W73" s="684"/>
      <c r="X73" s="684"/>
      <c r="Y73" s="684"/>
      <c r="Z73" s="684"/>
      <c r="AA73" s="684"/>
      <c r="AB73" s="684"/>
      <c r="AC73" s="684"/>
      <c r="AD73" s="684"/>
      <c r="AE73" s="684"/>
      <c r="AF73" s="684"/>
      <c r="AG73" s="684"/>
      <c r="AH73" s="684"/>
      <c r="AI73" s="684"/>
      <c r="AJ73" s="684"/>
      <c r="AK73" s="684"/>
      <c r="AL73" s="684"/>
      <c r="AM73" s="684"/>
      <c r="AN73" s="684"/>
      <c r="AO73" s="684"/>
      <c r="AP73" s="684"/>
      <c r="AQ73" s="684"/>
      <c r="AR73" s="1063">
        <f>MFC!L73</f>
        <v>0</v>
      </c>
      <c r="AS73" s="1061">
        <f>MFC!P73</f>
        <v>0</v>
      </c>
      <c r="AT73" s="686"/>
      <c r="AU73" s="686"/>
      <c r="AV73" s="687"/>
      <c r="AW73" s="687"/>
      <c r="AX73" s="687"/>
      <c r="AY73" s="687"/>
      <c r="AZ73" s="687"/>
      <c r="BA73" s="374"/>
      <c r="BB73" s="403"/>
      <c r="BC73" s="403"/>
      <c r="BD73" s="403"/>
      <c r="BE73" s="403"/>
      <c r="BF73" s="403"/>
      <c r="BG73" s="1067">
        <f>MFC!Q73</f>
        <v>0</v>
      </c>
      <c r="BH73" s="728"/>
      <c r="BI73" s="1067">
        <f>MFC!R73</f>
        <v>0</v>
      </c>
      <c r="BJ73" s="1067">
        <f>MFC!U73</f>
        <v>0</v>
      </c>
      <c r="BK73" s="683">
        <f>MFC!W73</f>
        <v>43435</v>
      </c>
      <c r="BL73" s="1074">
        <f>MFC!Y73</f>
        <v>0</v>
      </c>
      <c r="BM73" s="233"/>
      <c r="BN73" s="233"/>
      <c r="BO73" s="233"/>
      <c r="BP73" s="233"/>
      <c r="BQ73" s="233"/>
      <c r="BR73" s="233"/>
      <c r="BS73" s="233"/>
      <c r="BT73" s="233"/>
      <c r="BU73" s="233"/>
      <c r="BV73" s="233"/>
      <c r="BW73" s="233"/>
      <c r="BX73" s="233"/>
      <c r="BY73" s="233"/>
      <c r="BZ73" s="233"/>
      <c r="CA73" s="233"/>
      <c r="CB73" s="233"/>
      <c r="CC73" s="233"/>
      <c r="CD73" s="234"/>
      <c r="CE73" s="234"/>
      <c r="CF73" s="234"/>
    </row>
    <row r="74" spans="1:84" s="206" customFormat="1">
      <c r="A74" s="212">
        <v>73</v>
      </c>
      <c r="B74" s="212"/>
      <c r="C74" s="212"/>
      <c r="D74" s="694" t="s">
        <v>225</v>
      </c>
      <c r="E74" s="695">
        <f>MFC!A74</f>
        <v>0</v>
      </c>
      <c r="F74" s="695">
        <f>MFC!B74</f>
        <v>0</v>
      </c>
      <c r="G74" s="386">
        <f>MFC!C74</f>
        <v>496</v>
      </c>
      <c r="H74" s="702">
        <f>MFC!D74</f>
        <v>43157</v>
      </c>
      <c r="I74" s="703" t="str">
        <f>MFC!E74</f>
        <v>093*</v>
      </c>
      <c r="J74" s="1107" t="s">
        <v>475</v>
      </c>
      <c r="K74" s="706" t="str">
        <f>MFC!F74</f>
        <v>Non-Gaa belt</v>
      </c>
      <c r="L74" s="692" t="str">
        <f>MFC!G74</f>
        <v>HcP</v>
      </c>
      <c r="M74" s="693" t="str">
        <f>MFC!H74</f>
        <v>AL</v>
      </c>
      <c r="N74" s="386">
        <f>MFC!I74</f>
        <v>0</v>
      </c>
      <c r="O74" s="386">
        <f>MFC!J74</f>
        <v>0</v>
      </c>
      <c r="P74" s="386">
        <f>MFC!K74</f>
        <v>0</v>
      </c>
      <c r="Q74" s="684"/>
      <c r="R74" s="684"/>
      <c r="S74" s="684"/>
      <c r="T74" s="684"/>
      <c r="U74" s="684"/>
      <c r="V74" s="684"/>
      <c r="W74" s="684"/>
      <c r="X74" s="684"/>
      <c r="Y74" s="684"/>
      <c r="Z74" s="684"/>
      <c r="AA74" s="684"/>
      <c r="AB74" s="684"/>
      <c r="AC74" s="684"/>
      <c r="AD74" s="684"/>
      <c r="AE74" s="684"/>
      <c r="AF74" s="684"/>
      <c r="AG74" s="684"/>
      <c r="AH74" s="684"/>
      <c r="AI74" s="684"/>
      <c r="AJ74" s="684"/>
      <c r="AK74" s="684"/>
      <c r="AL74" s="684"/>
      <c r="AM74" s="684"/>
      <c r="AN74" s="684"/>
      <c r="AO74" s="684"/>
      <c r="AP74" s="684"/>
      <c r="AQ74" s="684"/>
      <c r="AR74" s="1063">
        <f>MFC!L74</f>
        <v>0</v>
      </c>
      <c r="AS74" s="1061">
        <f>MFC!P74</f>
        <v>0</v>
      </c>
      <c r="AT74" s="686"/>
      <c r="AU74" s="686"/>
      <c r="AV74" s="687"/>
      <c r="AW74" s="687"/>
      <c r="AX74" s="687"/>
      <c r="AY74" s="687"/>
      <c r="AZ74" s="687"/>
      <c r="BA74" s="374"/>
      <c r="BB74" s="403"/>
      <c r="BC74" s="403"/>
      <c r="BD74" s="403"/>
      <c r="BE74" s="403"/>
      <c r="BF74" s="403"/>
      <c r="BG74" s="1067">
        <f>MFC!Q74</f>
        <v>0</v>
      </c>
      <c r="BH74" s="728"/>
      <c r="BI74" s="1067">
        <f>MFC!R74</f>
        <v>0</v>
      </c>
      <c r="BJ74" s="1067">
        <f>MFC!U74</f>
        <v>0</v>
      </c>
      <c r="BK74" s="683">
        <f>MFC!W74</f>
        <v>43466</v>
      </c>
      <c r="BL74" s="1074">
        <f>MFC!Y74</f>
        <v>0</v>
      </c>
      <c r="BM74" s="233"/>
      <c r="BN74" s="233"/>
      <c r="BO74" s="233"/>
      <c r="BP74" s="233"/>
      <c r="BQ74" s="233"/>
      <c r="BR74" s="233"/>
      <c r="BS74" s="233"/>
      <c r="BT74" s="233"/>
      <c r="BU74" s="233"/>
      <c r="BV74" s="233"/>
      <c r="BW74" s="233"/>
      <c r="BX74" s="233"/>
      <c r="BY74" s="233"/>
      <c r="BZ74" s="233"/>
      <c r="CA74" s="233"/>
      <c r="CB74" s="233"/>
      <c r="CC74" s="233"/>
      <c r="CD74" s="234"/>
      <c r="CE74" s="234"/>
      <c r="CF74" s="234"/>
    </row>
    <row r="75" spans="1:84" s="206" customFormat="1">
      <c r="A75" s="212">
        <v>74</v>
      </c>
      <c r="B75" s="212"/>
      <c r="C75" s="212"/>
      <c r="D75" s="694" t="s">
        <v>225</v>
      </c>
      <c r="E75" s="695">
        <f>MFC!A75</f>
        <v>0</v>
      </c>
      <c r="F75" s="695">
        <f>MFC!B75</f>
        <v>0</v>
      </c>
      <c r="G75" s="386">
        <f>MFC!C75</f>
        <v>190</v>
      </c>
      <c r="H75" s="702">
        <f>MFC!D75</f>
        <v>0</v>
      </c>
      <c r="I75" s="703" t="str">
        <f>MFC!E75</f>
        <v>24/9</v>
      </c>
      <c r="J75" s="1107" t="s">
        <v>469</v>
      </c>
      <c r="K75" s="706" t="str">
        <f>MFC!F75</f>
        <v>New EL 8, 4XFT, 1OQ, 4DB, 1mix+eolWash</v>
      </c>
      <c r="L75" s="692" t="str">
        <f>MFC!G75</f>
        <v>HcP</v>
      </c>
      <c r="M75" s="693" t="str">
        <f>MFC!H75</f>
        <v>EL08</v>
      </c>
      <c r="N75" s="386">
        <f>MFC!I75</f>
        <v>0</v>
      </c>
      <c r="O75" s="386">
        <f>MFC!J75</f>
        <v>0</v>
      </c>
      <c r="P75" s="386">
        <f>MFC!K75</f>
        <v>0</v>
      </c>
      <c r="Q75" s="684"/>
      <c r="R75" s="684"/>
      <c r="S75" s="684"/>
      <c r="T75" s="684"/>
      <c r="U75" s="684"/>
      <c r="V75" s="684"/>
      <c r="W75" s="684"/>
      <c r="X75" s="684"/>
      <c r="Y75" s="684"/>
      <c r="Z75" s="684"/>
      <c r="AA75" s="684"/>
      <c r="AB75" s="684"/>
      <c r="AC75" s="684"/>
      <c r="AD75" s="684"/>
      <c r="AE75" s="684"/>
      <c r="AF75" s="684"/>
      <c r="AG75" s="684"/>
      <c r="AH75" s="684"/>
      <c r="AI75" s="684"/>
      <c r="AJ75" s="684"/>
      <c r="AK75" s="684"/>
      <c r="AL75" s="684"/>
      <c r="AM75" s="684"/>
      <c r="AN75" s="684"/>
      <c r="AO75" s="684"/>
      <c r="AP75" s="684"/>
      <c r="AQ75" s="684"/>
      <c r="AR75" s="1063">
        <f>MFC!L75</f>
        <v>0</v>
      </c>
      <c r="AS75" s="1061">
        <f>MFC!P75</f>
        <v>0</v>
      </c>
      <c r="AT75" s="686"/>
      <c r="AU75" s="686"/>
      <c r="AV75" s="687"/>
      <c r="AW75" s="687"/>
      <c r="AX75" s="687"/>
      <c r="AY75" s="687"/>
      <c r="AZ75" s="687"/>
      <c r="BA75" s="374"/>
      <c r="BB75" s="403"/>
      <c r="BC75" s="403"/>
      <c r="BD75" s="403"/>
      <c r="BE75" s="403"/>
      <c r="BF75" s="403"/>
      <c r="BG75" s="1067">
        <f>MFC!Q75</f>
        <v>0</v>
      </c>
      <c r="BH75" s="728"/>
      <c r="BI75" s="1067">
        <f>MFC!R75</f>
        <v>0</v>
      </c>
      <c r="BJ75" s="1067">
        <f>MFC!U75</f>
        <v>0</v>
      </c>
      <c r="BK75" s="683">
        <f>MFC!W75</f>
        <v>43466</v>
      </c>
      <c r="BL75" s="1074">
        <f>MFC!Y75</f>
        <v>0</v>
      </c>
      <c r="BM75" s="233"/>
      <c r="BN75" s="233"/>
      <c r="BO75" s="233"/>
      <c r="BP75" s="233"/>
      <c r="BQ75" s="233"/>
      <c r="BR75" s="233"/>
      <c r="BS75" s="233"/>
      <c r="BT75" s="233"/>
      <c r="BU75" s="233"/>
      <c r="BV75" s="233"/>
      <c r="BW75" s="233"/>
      <c r="BX75" s="233"/>
      <c r="BY75" s="233"/>
      <c r="BZ75" s="233"/>
      <c r="CA75" s="233"/>
      <c r="CB75" s="233"/>
      <c r="CC75" s="233"/>
      <c r="CD75" s="234"/>
      <c r="CE75" s="234"/>
      <c r="CF75" s="234"/>
    </row>
    <row r="76" spans="1:84" s="206" customFormat="1">
      <c r="A76" s="212">
        <v>75</v>
      </c>
      <c r="B76" s="212"/>
      <c r="C76" s="212"/>
      <c r="D76" s="694" t="s">
        <v>225</v>
      </c>
      <c r="E76" s="695">
        <f>MFC!A76</f>
        <v>0</v>
      </c>
      <c r="F76" s="695">
        <f>MFC!B76</f>
        <v>0</v>
      </c>
      <c r="G76" s="386">
        <f>MFC!C76</f>
        <v>482</v>
      </c>
      <c r="H76" s="702">
        <f>MFC!D76</f>
        <v>0</v>
      </c>
      <c r="I76" s="703" t="str">
        <f>MFC!E76</f>
        <v>089</v>
      </c>
      <c r="J76" s="1107" t="s">
        <v>467</v>
      </c>
      <c r="K76" s="706" t="str">
        <f>MFC!F76</f>
        <v>New AL18 HcP</v>
      </c>
      <c r="L76" s="692" t="str">
        <f>MFC!G76</f>
        <v>HcP</v>
      </c>
      <c r="M76" s="693" t="str">
        <f>MFC!H76</f>
        <v>AL18</v>
      </c>
      <c r="N76" s="386">
        <f>MFC!I76</f>
        <v>0</v>
      </c>
      <c r="O76" s="386">
        <f>MFC!J76</f>
        <v>0</v>
      </c>
      <c r="P76" s="386">
        <f>MFC!K76</f>
        <v>0</v>
      </c>
      <c r="Q76" s="684"/>
      <c r="R76" s="684"/>
      <c r="S76" s="684"/>
      <c r="T76" s="684"/>
      <c r="U76" s="684"/>
      <c r="V76" s="684"/>
      <c r="W76" s="684"/>
      <c r="X76" s="684"/>
      <c r="Y76" s="684"/>
      <c r="Z76" s="684"/>
      <c r="AA76" s="684"/>
      <c r="AB76" s="684"/>
      <c r="AC76" s="684"/>
      <c r="AD76" s="684"/>
      <c r="AE76" s="684"/>
      <c r="AF76" s="684"/>
      <c r="AG76" s="684"/>
      <c r="AH76" s="684"/>
      <c r="AI76" s="684"/>
      <c r="AJ76" s="684"/>
      <c r="AK76" s="684"/>
      <c r="AL76" s="684"/>
      <c r="AM76" s="684"/>
      <c r="AN76" s="684"/>
      <c r="AO76" s="684"/>
      <c r="AP76" s="684"/>
      <c r="AQ76" s="684"/>
      <c r="AR76" s="1063">
        <f>MFC!L76</f>
        <v>0</v>
      </c>
      <c r="AS76" s="1061">
        <f>MFC!P76</f>
        <v>0</v>
      </c>
      <c r="AT76" s="686"/>
      <c r="AU76" s="686"/>
      <c r="AV76" s="687"/>
      <c r="AW76" s="687"/>
      <c r="AX76" s="687"/>
      <c r="AY76" s="687"/>
      <c r="AZ76" s="687"/>
      <c r="BA76" s="374"/>
      <c r="BB76" s="403"/>
      <c r="BC76" s="403"/>
      <c r="BD76" s="403"/>
      <c r="BE76" s="403"/>
      <c r="BF76" s="403"/>
      <c r="BG76" s="1067">
        <f>MFC!Q76</f>
        <v>0</v>
      </c>
      <c r="BH76" s="728"/>
      <c r="BI76" s="1067">
        <f>MFC!R76</f>
        <v>0</v>
      </c>
      <c r="BJ76" s="1067">
        <f>MFC!U76</f>
        <v>0</v>
      </c>
      <c r="BK76" s="683">
        <f>MFC!W76</f>
        <v>43466</v>
      </c>
      <c r="BL76" s="1074">
        <f>MFC!Y76</f>
        <v>0</v>
      </c>
      <c r="BM76" s="233"/>
      <c r="BN76" s="233"/>
      <c r="BO76" s="233"/>
      <c r="BP76" s="233"/>
      <c r="BQ76" s="233"/>
      <c r="BR76" s="233"/>
      <c r="BS76" s="233"/>
      <c r="BT76" s="233"/>
      <c r="BU76" s="233"/>
      <c r="BV76" s="233"/>
      <c r="BW76" s="233"/>
      <c r="BX76" s="233"/>
      <c r="BY76" s="233"/>
      <c r="BZ76" s="233"/>
      <c r="CA76" s="233"/>
      <c r="CB76" s="233"/>
      <c r="CC76" s="233"/>
      <c r="CD76" s="234"/>
      <c r="CE76" s="234"/>
      <c r="CF76" s="234"/>
    </row>
    <row r="77" spans="1:84" s="206" customFormat="1">
      <c r="A77" s="212">
        <v>76</v>
      </c>
      <c r="B77" s="212"/>
      <c r="C77" s="212"/>
      <c r="D77" s="694" t="s">
        <v>225</v>
      </c>
      <c r="E77" s="695">
        <f>MFC!A77</f>
        <v>0</v>
      </c>
      <c r="F77" s="695">
        <f>MFC!B77</f>
        <v>0</v>
      </c>
      <c r="G77" s="386">
        <f>MFC!C77</f>
        <v>501</v>
      </c>
      <c r="H77" s="702">
        <f>MFC!D77</f>
        <v>0</v>
      </c>
      <c r="I77" s="703" t="str">
        <f>MFC!E77</f>
        <v>094</v>
      </c>
      <c r="J77" s="1107" t="s">
        <v>468</v>
      </c>
      <c r="K77" s="706" t="str">
        <f>MFC!F77</f>
        <v>New AL19 HcP</v>
      </c>
      <c r="L77" s="692" t="str">
        <f>MFC!G77</f>
        <v>HcP</v>
      </c>
      <c r="M77" s="693" t="str">
        <f>MFC!H77</f>
        <v>AL19</v>
      </c>
      <c r="N77" s="386">
        <f>MFC!I77</f>
        <v>0</v>
      </c>
      <c r="O77" s="386">
        <f>MFC!J77</f>
        <v>0</v>
      </c>
      <c r="P77" s="386">
        <f>MFC!K77</f>
        <v>0</v>
      </c>
      <c r="Q77" s="684"/>
      <c r="R77" s="684"/>
      <c r="S77" s="684"/>
      <c r="T77" s="684"/>
      <c r="U77" s="684"/>
      <c r="V77" s="684"/>
      <c r="W77" s="684"/>
      <c r="X77" s="684"/>
      <c r="Y77" s="684"/>
      <c r="Z77" s="684"/>
      <c r="AA77" s="684"/>
      <c r="AB77" s="684"/>
      <c r="AC77" s="684"/>
      <c r="AD77" s="684"/>
      <c r="AE77" s="684"/>
      <c r="AF77" s="684"/>
      <c r="AG77" s="684"/>
      <c r="AH77" s="684"/>
      <c r="AI77" s="684"/>
      <c r="AJ77" s="684"/>
      <c r="AK77" s="684"/>
      <c r="AL77" s="684"/>
      <c r="AM77" s="684"/>
      <c r="AN77" s="684"/>
      <c r="AO77" s="684"/>
      <c r="AP77" s="684"/>
      <c r="AQ77" s="684"/>
      <c r="AR77" s="1063">
        <f>MFC!L77</f>
        <v>0</v>
      </c>
      <c r="AS77" s="1061">
        <f>MFC!P77</f>
        <v>0</v>
      </c>
      <c r="AT77" s="686"/>
      <c r="AU77" s="686"/>
      <c r="AV77" s="687"/>
      <c r="AW77" s="687"/>
      <c r="AX77" s="687"/>
      <c r="AY77" s="687"/>
      <c r="AZ77" s="687"/>
      <c r="BA77" s="374"/>
      <c r="BB77" s="403"/>
      <c r="BC77" s="403"/>
      <c r="BD77" s="403"/>
      <c r="BE77" s="403"/>
      <c r="BF77" s="403"/>
      <c r="BG77" s="1067">
        <f>MFC!Q77</f>
        <v>0</v>
      </c>
      <c r="BH77" s="728"/>
      <c r="BI77" s="1067">
        <f>MFC!R77</f>
        <v>0</v>
      </c>
      <c r="BJ77" s="1067">
        <f>MFC!U77</f>
        <v>0</v>
      </c>
      <c r="BK77" s="683">
        <f>MFC!W77</f>
        <v>43556</v>
      </c>
      <c r="BL77" s="1074">
        <f>MFC!Y77</f>
        <v>0</v>
      </c>
      <c r="BM77" s="233"/>
      <c r="BN77" s="233"/>
      <c r="BO77" s="233"/>
      <c r="BP77" s="233"/>
      <c r="BQ77" s="233"/>
      <c r="BR77" s="233"/>
      <c r="BS77" s="233"/>
      <c r="BT77" s="233"/>
      <c r="BU77" s="233"/>
      <c r="BV77" s="233"/>
      <c r="BW77" s="233"/>
      <c r="BX77" s="233"/>
      <c r="BY77" s="233"/>
      <c r="BZ77" s="233"/>
      <c r="CA77" s="233"/>
      <c r="CB77" s="233"/>
      <c r="CC77" s="233"/>
      <c r="CD77" s="234"/>
      <c r="CE77" s="234"/>
      <c r="CF77" s="234"/>
    </row>
    <row r="78" spans="1:84" s="206" customFormat="1">
      <c r="A78" s="212">
        <v>77</v>
      </c>
      <c r="B78" s="212"/>
      <c r="C78" s="212"/>
      <c r="D78" s="694" t="s">
        <v>225</v>
      </c>
      <c r="E78" s="695">
        <f>MFC!A78</f>
        <v>0</v>
      </c>
      <c r="F78" s="695">
        <f>MFC!B78</f>
        <v>0</v>
      </c>
      <c r="G78" s="386">
        <f>MFC!C78</f>
        <v>510</v>
      </c>
      <c r="H78" s="702">
        <f>MFC!D78</f>
        <v>0</v>
      </c>
      <c r="I78" s="703" t="str">
        <f>MFC!E78</f>
        <v>GU</v>
      </c>
      <c r="J78" s="1107" t="s">
        <v>476</v>
      </c>
      <c r="K78" s="706" t="str">
        <f>MFC!F78</f>
        <v>New GU LL13, incl PL07</v>
      </c>
      <c r="L78" s="692" t="str">
        <f>MFC!G78</f>
        <v>HcP</v>
      </c>
      <c r="M78" s="693" t="str">
        <f>MFC!H78</f>
        <v>LL13</v>
      </c>
      <c r="N78" s="386">
        <f>MFC!I78</f>
        <v>0</v>
      </c>
      <c r="O78" s="386">
        <f>MFC!J78</f>
        <v>0</v>
      </c>
      <c r="P78" s="386">
        <f>MFC!K78</f>
        <v>0</v>
      </c>
      <c r="Q78" s="684"/>
      <c r="R78" s="684"/>
      <c r="S78" s="684"/>
      <c r="T78" s="684"/>
      <c r="U78" s="684"/>
      <c r="V78" s="684"/>
      <c r="W78" s="684"/>
      <c r="X78" s="684"/>
      <c r="Y78" s="684"/>
      <c r="Z78" s="684"/>
      <c r="AA78" s="684"/>
      <c r="AB78" s="684"/>
      <c r="AC78" s="684"/>
      <c r="AD78" s="684"/>
      <c r="AE78" s="684"/>
      <c r="AF78" s="684"/>
      <c r="AG78" s="684"/>
      <c r="AH78" s="684"/>
      <c r="AI78" s="684"/>
      <c r="AJ78" s="684"/>
      <c r="AK78" s="684"/>
      <c r="AL78" s="684"/>
      <c r="AM78" s="684"/>
      <c r="AN78" s="684"/>
      <c r="AO78" s="684"/>
      <c r="AP78" s="684"/>
      <c r="AQ78" s="684"/>
      <c r="AR78" s="1063">
        <f>MFC!L78</f>
        <v>0</v>
      </c>
      <c r="AS78" s="1061">
        <f>MFC!P78</f>
        <v>0</v>
      </c>
      <c r="AT78" s="686"/>
      <c r="AU78" s="686"/>
      <c r="AV78" s="687"/>
      <c r="AW78" s="687"/>
      <c r="AX78" s="687"/>
      <c r="AY78" s="687"/>
      <c r="AZ78" s="687"/>
      <c r="BA78" s="374"/>
      <c r="BB78" s="403"/>
      <c r="BC78" s="403"/>
      <c r="BD78" s="403"/>
      <c r="BE78" s="403"/>
      <c r="BF78" s="403"/>
      <c r="BG78" s="1067">
        <f>MFC!Q78</f>
        <v>0</v>
      </c>
      <c r="BH78" s="728"/>
      <c r="BI78" s="1067">
        <f>MFC!R78</f>
        <v>0</v>
      </c>
      <c r="BJ78" s="1067">
        <f>MFC!U78</f>
        <v>0</v>
      </c>
      <c r="BK78" s="683">
        <f>MFC!W78</f>
        <v>43617</v>
      </c>
      <c r="BL78" s="1074">
        <f>MFC!Y78</f>
        <v>0</v>
      </c>
      <c r="BM78" s="233"/>
      <c r="BN78" s="233"/>
      <c r="BO78" s="233"/>
      <c r="BP78" s="233"/>
      <c r="BQ78" s="233"/>
      <c r="BR78" s="233"/>
      <c r="BS78" s="233"/>
      <c r="BT78" s="233"/>
      <c r="BU78" s="233"/>
      <c r="BV78" s="233"/>
      <c r="BW78" s="233"/>
      <c r="BX78" s="233"/>
      <c r="BY78" s="233"/>
      <c r="BZ78" s="233"/>
      <c r="CA78" s="233"/>
      <c r="CB78" s="233"/>
      <c r="CC78" s="233"/>
      <c r="CD78" s="234"/>
      <c r="CE78" s="234"/>
      <c r="CF78" s="234"/>
    </row>
    <row r="79" spans="1:84" s="206" customFormat="1">
      <c r="A79" s="212">
        <v>78</v>
      </c>
      <c r="B79" s="212"/>
      <c r="C79" s="212"/>
      <c r="D79" s="694" t="s">
        <v>225</v>
      </c>
      <c r="E79" s="695">
        <f>MFC!A79</f>
        <v>0</v>
      </c>
      <c r="F79" s="695">
        <f>MFC!B79</f>
        <v>0</v>
      </c>
      <c r="G79" s="386">
        <f>MFC!C79</f>
        <v>364</v>
      </c>
      <c r="H79" s="702">
        <f>MFC!D79</f>
        <v>0</v>
      </c>
      <c r="I79" s="703" t="str">
        <f>MFC!E79</f>
        <v>SLB</v>
      </c>
      <c r="J79" s="1107" t="s">
        <v>477</v>
      </c>
      <c r="K79" s="706" t="str">
        <f>MFC!F79</f>
        <v>New ALS for SLB TbP</v>
      </c>
      <c r="L79" s="692" t="str">
        <f>MFC!G79</f>
        <v>TbP</v>
      </c>
      <c r="M79" s="693" t="str">
        <f>MFC!H79</f>
        <v>ALS1</v>
      </c>
      <c r="N79" s="386">
        <f>MFC!I79</f>
        <v>0</v>
      </c>
      <c r="O79" s="386">
        <f>MFC!J79</f>
        <v>0</v>
      </c>
      <c r="P79" s="386">
        <f>MFC!K79</f>
        <v>0</v>
      </c>
      <c r="Q79" s="684"/>
      <c r="R79" s="684"/>
      <c r="S79" s="684"/>
      <c r="T79" s="684"/>
      <c r="U79" s="684"/>
      <c r="V79" s="684"/>
      <c r="W79" s="684"/>
      <c r="X79" s="684"/>
      <c r="Y79" s="684"/>
      <c r="Z79" s="684"/>
      <c r="AA79" s="684"/>
      <c r="AB79" s="684"/>
      <c r="AC79" s="684"/>
      <c r="AD79" s="684"/>
      <c r="AE79" s="684"/>
      <c r="AF79" s="684"/>
      <c r="AG79" s="684"/>
      <c r="AH79" s="684"/>
      <c r="AI79" s="684"/>
      <c r="AJ79" s="684"/>
      <c r="AK79" s="684"/>
      <c r="AL79" s="684"/>
      <c r="AM79" s="684"/>
      <c r="AN79" s="684"/>
      <c r="AO79" s="684"/>
      <c r="AP79" s="684"/>
      <c r="AQ79" s="684"/>
      <c r="AR79" s="903" t="str">
        <f>MFC!L79</f>
        <v>na</v>
      </c>
      <c r="AS79" s="685" t="str">
        <f>MFC!P79</f>
        <v>na</v>
      </c>
      <c r="AT79" s="686"/>
      <c r="AU79" s="686"/>
      <c r="AV79" s="687"/>
      <c r="AW79" s="687"/>
      <c r="AX79" s="687"/>
      <c r="AY79" s="687"/>
      <c r="AZ79" s="687"/>
      <c r="BA79" s="374"/>
      <c r="BB79" s="403"/>
      <c r="BC79" s="403"/>
      <c r="BD79" s="403"/>
      <c r="BE79" s="403"/>
      <c r="BF79" s="403"/>
      <c r="BG79" s="1067">
        <f>MFC!Q79</f>
        <v>0</v>
      </c>
      <c r="BH79" s="728"/>
      <c r="BI79" s="1067">
        <f>MFC!R79</f>
        <v>0</v>
      </c>
      <c r="BJ79" s="1067">
        <f>MFC!U79</f>
        <v>0</v>
      </c>
      <c r="BK79" s="683">
        <f>MFC!W79</f>
        <v>43831</v>
      </c>
      <c r="BL79" s="1074">
        <f>MFC!Y79</f>
        <v>0</v>
      </c>
      <c r="BM79" s="233"/>
      <c r="BN79" s="233"/>
      <c r="BO79" s="233"/>
      <c r="BP79" s="233"/>
      <c r="BQ79" s="233"/>
      <c r="BR79" s="233"/>
      <c r="BS79" s="233"/>
      <c r="BT79" s="233"/>
      <c r="BU79" s="233"/>
      <c r="BV79" s="233"/>
      <c r="BW79" s="233"/>
      <c r="BX79" s="233"/>
      <c r="BY79" s="233"/>
      <c r="BZ79" s="233"/>
      <c r="CA79" s="233"/>
      <c r="CB79" s="233"/>
      <c r="CC79" s="233"/>
      <c r="CD79" s="234"/>
      <c r="CE79" s="234"/>
      <c r="CF79" s="234"/>
    </row>
    <row r="80" spans="1:84" s="206" customFormat="1">
      <c r="A80" s="212">
        <v>79</v>
      </c>
      <c r="B80" s="212"/>
      <c r="C80" s="212"/>
      <c r="D80" s="694" t="s">
        <v>225</v>
      </c>
      <c r="E80" s="695">
        <f>MFC!A80</f>
        <v>0</v>
      </c>
      <c r="F80" s="695">
        <f>MFC!B80</f>
        <v>0</v>
      </c>
      <c r="G80" s="386">
        <f>MFC!C80</f>
        <v>422</v>
      </c>
      <c r="H80" s="702">
        <f>MFC!D80</f>
        <v>0</v>
      </c>
      <c r="I80" s="703" t="str">
        <f>MFC!E80</f>
        <v>SLB</v>
      </c>
      <c r="J80" s="1107" t="s">
        <v>478</v>
      </c>
      <c r="K80" s="706" t="str">
        <f>MFC!F80</f>
        <v>Release LL12 for SLB TbP</v>
      </c>
      <c r="L80" s="692" t="str">
        <f>MFC!G80</f>
        <v>TbP</v>
      </c>
      <c r="M80" s="693" t="str">
        <f>MFC!H80</f>
        <v>LL12</v>
      </c>
      <c r="N80" s="386">
        <f>MFC!I80</f>
        <v>0</v>
      </c>
      <c r="O80" s="386">
        <f>MFC!J80</f>
        <v>0</v>
      </c>
      <c r="P80" s="386">
        <f>MFC!K80</f>
        <v>0</v>
      </c>
      <c r="Q80" s="684"/>
      <c r="R80" s="684"/>
      <c r="S80" s="684"/>
      <c r="T80" s="684"/>
      <c r="U80" s="684"/>
      <c r="V80" s="684"/>
      <c r="W80" s="684"/>
      <c r="X80" s="684"/>
      <c r="Y80" s="684"/>
      <c r="Z80" s="684"/>
      <c r="AA80" s="684"/>
      <c r="AB80" s="684"/>
      <c r="AC80" s="684"/>
      <c r="AD80" s="684"/>
      <c r="AE80" s="684"/>
      <c r="AF80" s="684"/>
      <c r="AG80" s="684"/>
      <c r="AH80" s="684"/>
      <c r="AI80" s="684"/>
      <c r="AJ80" s="684"/>
      <c r="AK80" s="684"/>
      <c r="AL80" s="684"/>
      <c r="AM80" s="684"/>
      <c r="AN80" s="684"/>
      <c r="AO80" s="684"/>
      <c r="AP80" s="684"/>
      <c r="AQ80" s="684"/>
      <c r="AR80" s="903" t="str">
        <f>MFC!L80</f>
        <v>na</v>
      </c>
      <c r="AS80" s="685" t="str">
        <f>MFC!P80</f>
        <v>na</v>
      </c>
      <c r="AT80" s="686"/>
      <c r="AU80" s="686"/>
      <c r="AV80" s="687"/>
      <c r="AW80" s="687"/>
      <c r="AX80" s="687"/>
      <c r="AY80" s="687"/>
      <c r="AZ80" s="687"/>
      <c r="BA80" s="374"/>
      <c r="BB80" s="403"/>
      <c r="BC80" s="403"/>
      <c r="BD80" s="403"/>
      <c r="BE80" s="403"/>
      <c r="BF80" s="403"/>
      <c r="BG80" s="1067">
        <f>MFC!Q80</f>
        <v>0</v>
      </c>
      <c r="BH80" s="728"/>
      <c r="BI80" s="1067">
        <f>MFC!R80</f>
        <v>0</v>
      </c>
      <c r="BJ80" s="1067">
        <f>MFC!U80</f>
        <v>0</v>
      </c>
      <c r="BK80" s="683">
        <f>MFC!W80</f>
        <v>43831</v>
      </c>
      <c r="BL80" s="1074">
        <f>MFC!Y80</f>
        <v>0</v>
      </c>
      <c r="BM80" s="233"/>
      <c r="BN80" s="233"/>
      <c r="BO80" s="233"/>
      <c r="BP80" s="233"/>
      <c r="BQ80" s="233"/>
      <c r="BR80" s="233"/>
      <c r="BS80" s="233"/>
      <c r="BT80" s="233"/>
      <c r="BU80" s="233"/>
      <c r="BV80" s="233"/>
      <c r="BW80" s="233"/>
      <c r="BX80" s="233"/>
      <c r="BY80" s="233"/>
      <c r="BZ80" s="233"/>
      <c r="CA80" s="233"/>
      <c r="CB80" s="233"/>
      <c r="CC80" s="233"/>
      <c r="CD80" s="234"/>
      <c r="CE80" s="234"/>
      <c r="CF80" s="234"/>
    </row>
    <row r="81" spans="1:84" s="206" customFormat="1">
      <c r="A81" s="212">
        <v>80</v>
      </c>
      <c r="B81" s="212"/>
      <c r="C81" s="212"/>
      <c r="D81" s="694" t="s">
        <v>225</v>
      </c>
      <c r="E81" s="695">
        <f>MFC!A81</f>
        <v>0</v>
      </c>
      <c r="F81" s="695">
        <f>MFC!B81</f>
        <v>0</v>
      </c>
      <c r="G81" s="386">
        <f>MFC!C81</f>
        <v>423</v>
      </c>
      <c r="H81" s="702">
        <f>MFC!D81</f>
        <v>0</v>
      </c>
      <c r="I81" s="703" t="str">
        <f>MFC!E81</f>
        <v>SLB</v>
      </c>
      <c r="J81" s="1107" t="s">
        <v>479</v>
      </c>
      <c r="K81" s="706" t="str">
        <f>MFC!F81</f>
        <v>Release EL for SLB TbP</v>
      </c>
      <c r="L81" s="692" t="str">
        <f>MFC!G81</f>
        <v>TbP</v>
      </c>
      <c r="M81" s="693" t="str">
        <f>MFC!H81</f>
        <v>EL</v>
      </c>
      <c r="N81" s="386">
        <f>MFC!I81</f>
        <v>0</v>
      </c>
      <c r="O81" s="386">
        <f>MFC!J81</f>
        <v>0</v>
      </c>
      <c r="P81" s="386">
        <f>MFC!K81</f>
        <v>0</v>
      </c>
      <c r="Q81" s="684"/>
      <c r="R81" s="684"/>
      <c r="S81" s="684"/>
      <c r="T81" s="684"/>
      <c r="U81" s="684"/>
      <c r="V81" s="684"/>
      <c r="W81" s="684"/>
      <c r="X81" s="684"/>
      <c r="Y81" s="684"/>
      <c r="Z81" s="684"/>
      <c r="AA81" s="684"/>
      <c r="AB81" s="684"/>
      <c r="AC81" s="684"/>
      <c r="AD81" s="684"/>
      <c r="AE81" s="684"/>
      <c r="AF81" s="684"/>
      <c r="AG81" s="684"/>
      <c r="AH81" s="684"/>
      <c r="AI81" s="684"/>
      <c r="AJ81" s="684"/>
      <c r="AK81" s="684"/>
      <c r="AL81" s="684"/>
      <c r="AM81" s="684"/>
      <c r="AN81" s="684"/>
      <c r="AO81" s="684"/>
      <c r="AP81" s="684"/>
      <c r="AQ81" s="684"/>
      <c r="AR81" s="903" t="str">
        <f>MFC!L81</f>
        <v>na</v>
      </c>
      <c r="AS81" s="685" t="str">
        <f>MFC!P81</f>
        <v>na</v>
      </c>
      <c r="AT81" s="686"/>
      <c r="AU81" s="686"/>
      <c r="AV81" s="687"/>
      <c r="AW81" s="687"/>
      <c r="AX81" s="687"/>
      <c r="AY81" s="687"/>
      <c r="AZ81" s="687"/>
      <c r="BA81" s="374"/>
      <c r="BB81" s="403"/>
      <c r="BC81" s="403"/>
      <c r="BD81" s="403"/>
      <c r="BE81" s="403"/>
      <c r="BF81" s="403"/>
      <c r="BG81" s="1067">
        <f>MFC!Q81</f>
        <v>0</v>
      </c>
      <c r="BH81" s="728"/>
      <c r="BI81" s="1067">
        <f>MFC!R81</f>
        <v>0</v>
      </c>
      <c r="BJ81" s="1067">
        <f>MFC!U81</f>
        <v>0</v>
      </c>
      <c r="BK81" s="683">
        <f>MFC!W81</f>
        <v>43831</v>
      </c>
      <c r="BL81" s="1074">
        <f>MFC!Y81</f>
        <v>0</v>
      </c>
      <c r="BM81" s="233"/>
      <c r="BN81" s="233"/>
      <c r="BO81" s="233"/>
      <c r="BP81" s="233"/>
      <c r="BQ81" s="233"/>
      <c r="BR81" s="233"/>
      <c r="BS81" s="233"/>
      <c r="BT81" s="233"/>
      <c r="BU81" s="233"/>
      <c r="BV81" s="233"/>
      <c r="BW81" s="233"/>
      <c r="BX81" s="233"/>
      <c r="BY81" s="233"/>
      <c r="BZ81" s="233"/>
      <c r="CA81" s="233"/>
      <c r="CB81" s="233"/>
      <c r="CC81" s="233"/>
      <c r="CD81" s="234"/>
      <c r="CE81" s="234"/>
      <c r="CF81" s="234"/>
    </row>
    <row r="82" spans="1:84" s="206" customFormat="1">
      <c r="A82" s="212">
        <v>81</v>
      </c>
      <c r="B82" s="212"/>
      <c r="C82" s="212"/>
      <c r="D82" s="694" t="s">
        <v>225</v>
      </c>
      <c r="E82" s="695">
        <f>MFC!A82</f>
        <v>0</v>
      </c>
      <c r="F82" s="695">
        <f>MFC!B82</f>
        <v>0</v>
      </c>
      <c r="G82" s="386">
        <f>MFC!C82</f>
        <v>539</v>
      </c>
      <c r="H82" s="702">
        <f>MFC!D82</f>
        <v>0</v>
      </c>
      <c r="I82" s="703" t="str">
        <f>MFC!E82</f>
        <v>094</v>
      </c>
      <c r="J82" s="1107" t="s">
        <v>470</v>
      </c>
      <c r="K82" s="706" t="str">
        <f>MFC!F82</f>
        <v>LL6 release for AVO</v>
      </c>
      <c r="L82" s="692" t="str">
        <f>MFC!G82</f>
        <v>HcP</v>
      </c>
      <c r="M82" s="693" t="str">
        <f>MFC!H82</f>
        <v>LL06</v>
      </c>
      <c r="N82" s="386">
        <f>MFC!I82</f>
        <v>0</v>
      </c>
      <c r="O82" s="386">
        <f>MFC!J82</f>
        <v>0</v>
      </c>
      <c r="P82" s="386">
        <f>MFC!K82</f>
        <v>0</v>
      </c>
      <c r="Q82" s="684"/>
      <c r="R82" s="684"/>
      <c r="S82" s="684"/>
      <c r="T82" s="684"/>
      <c r="U82" s="684"/>
      <c r="V82" s="684"/>
      <c r="W82" s="684"/>
      <c r="X82" s="684"/>
      <c r="Y82" s="684"/>
      <c r="Z82" s="684"/>
      <c r="AA82" s="684"/>
      <c r="AB82" s="684"/>
      <c r="AC82" s="684"/>
      <c r="AD82" s="684"/>
      <c r="AE82" s="684"/>
      <c r="AF82" s="684"/>
      <c r="AG82" s="684"/>
      <c r="AH82" s="684"/>
      <c r="AI82" s="684"/>
      <c r="AJ82" s="684"/>
      <c r="AK82" s="684"/>
      <c r="AL82" s="684"/>
      <c r="AM82" s="684"/>
      <c r="AN82" s="684"/>
      <c r="AO82" s="684"/>
      <c r="AP82" s="684"/>
      <c r="AQ82" s="684"/>
      <c r="AR82" s="903">
        <f>MFC!L82</f>
        <v>0</v>
      </c>
      <c r="AS82" s="685">
        <f>MFC!P82</f>
        <v>0</v>
      </c>
      <c r="AT82" s="686"/>
      <c r="AU82" s="686"/>
      <c r="AV82" s="687"/>
      <c r="AW82" s="687"/>
      <c r="AX82" s="687"/>
      <c r="AY82" s="687"/>
      <c r="AZ82" s="687"/>
      <c r="BA82" s="374"/>
      <c r="BB82" s="403"/>
      <c r="BC82" s="403"/>
      <c r="BD82" s="403"/>
      <c r="BE82" s="403"/>
      <c r="BF82" s="403"/>
      <c r="BG82" s="1067">
        <f>MFC!Q82</f>
        <v>0</v>
      </c>
      <c r="BH82" s="728"/>
      <c r="BI82" s="1067">
        <f>MFC!R82</f>
        <v>0</v>
      </c>
      <c r="BJ82" s="1067">
        <f>MFC!U82</f>
        <v>0</v>
      </c>
      <c r="BK82" s="683">
        <f>MFC!W82</f>
        <v>43466</v>
      </c>
      <c r="BL82" s="1074">
        <f>MFC!Y82</f>
        <v>0</v>
      </c>
      <c r="BM82" s="233"/>
      <c r="BN82" s="233"/>
      <c r="BO82" s="233"/>
      <c r="BP82" s="233"/>
      <c r="BQ82" s="233"/>
      <c r="BR82" s="233"/>
      <c r="BS82" s="233"/>
      <c r="BT82" s="233"/>
      <c r="BU82" s="233"/>
      <c r="BV82" s="233"/>
      <c r="BW82" s="233"/>
      <c r="BX82" s="233"/>
      <c r="BY82" s="233"/>
      <c r="BZ82" s="233"/>
      <c r="CA82" s="233"/>
      <c r="CB82" s="233"/>
      <c r="CC82" s="233"/>
      <c r="CD82" s="234"/>
      <c r="CE82" s="234"/>
      <c r="CF82" s="234"/>
    </row>
    <row r="83" spans="1:84" s="206" customFormat="1">
      <c r="A83" s="212">
        <v>81</v>
      </c>
      <c r="B83" s="212"/>
      <c r="C83" s="212"/>
      <c r="D83" s="694" t="s">
        <v>225</v>
      </c>
      <c r="E83" s="695">
        <f>MFC!A83</f>
        <v>0</v>
      </c>
      <c r="F83" s="695">
        <f>MFC!B83</f>
        <v>0</v>
      </c>
      <c r="G83" s="386">
        <f>MFC!C83</f>
        <v>542</v>
      </c>
      <c r="H83" s="702">
        <f>MFC!D83</f>
        <v>0</v>
      </c>
      <c r="I83" s="703" t="str">
        <f>MFC!E83</f>
        <v>TBD</v>
      </c>
      <c r="J83" s="1107"/>
      <c r="K83" s="706" t="str">
        <f>MFC!F83</f>
        <v>Release 2810GU Dubai</v>
      </c>
      <c r="L83" s="692" t="str">
        <f>MFC!G83</f>
        <v>TbP</v>
      </c>
      <c r="M83" s="693" t="str">
        <f>MFC!H83</f>
        <v>AL</v>
      </c>
      <c r="N83" s="386" t="str">
        <f>MFC!I83</f>
        <v>J</v>
      </c>
      <c r="O83" s="386">
        <f>MFC!J83</f>
        <v>0</v>
      </c>
      <c r="P83" s="386">
        <f>MFC!K83</f>
        <v>0</v>
      </c>
      <c r="Q83" s="684"/>
      <c r="R83" s="684"/>
      <c r="S83" s="684"/>
      <c r="T83" s="684"/>
      <c r="U83" s="684"/>
      <c r="V83" s="684"/>
      <c r="W83" s="684"/>
      <c r="X83" s="684"/>
      <c r="Y83" s="684"/>
      <c r="Z83" s="684"/>
      <c r="AA83" s="684"/>
      <c r="AB83" s="684"/>
      <c r="AC83" s="684"/>
      <c r="AD83" s="684"/>
      <c r="AE83" s="684"/>
      <c r="AF83" s="684"/>
      <c r="AG83" s="684"/>
      <c r="AH83" s="684"/>
      <c r="AI83" s="684"/>
      <c r="AJ83" s="684"/>
      <c r="AK83" s="684"/>
      <c r="AL83" s="684"/>
      <c r="AM83" s="684"/>
      <c r="AN83" s="684"/>
      <c r="AO83" s="684"/>
      <c r="AP83" s="684"/>
      <c r="AQ83" s="684"/>
      <c r="AR83" s="903" t="str">
        <f>MFC!L83</f>
        <v>na</v>
      </c>
      <c r="AS83" s="685" t="str">
        <f>MFC!P83</f>
        <v>na</v>
      </c>
      <c r="AT83" s="686"/>
      <c r="AU83" s="686"/>
      <c r="AV83" s="687"/>
      <c r="AW83" s="687"/>
      <c r="AX83" s="687"/>
      <c r="AY83" s="687"/>
      <c r="AZ83" s="687">
        <v>43206</v>
      </c>
      <c r="BA83" s="1117">
        <v>43122</v>
      </c>
      <c r="BB83" s="403">
        <v>43172</v>
      </c>
      <c r="BC83" s="403">
        <v>43172</v>
      </c>
      <c r="BD83" s="403">
        <v>43178</v>
      </c>
      <c r="BE83" s="403">
        <v>43208</v>
      </c>
      <c r="BF83" s="403">
        <v>43249</v>
      </c>
      <c r="BG83" s="728">
        <f>MFC!Q83</f>
        <v>43213</v>
      </c>
      <c r="BH83" s="728">
        <v>43233</v>
      </c>
      <c r="BI83" s="728" t="str">
        <f>MFC!R83</f>
        <v>na</v>
      </c>
      <c r="BJ83" s="728">
        <f>MFC!U83</f>
        <v>43262</v>
      </c>
      <c r="BK83" s="683">
        <f>MFC!W83</f>
        <v>43269</v>
      </c>
      <c r="BL83" s="1116">
        <f>MFC!Y83</f>
        <v>43290</v>
      </c>
      <c r="BM83" s="233"/>
      <c r="BN83" s="233"/>
      <c r="BO83" s="233"/>
      <c r="BP83" s="233"/>
      <c r="BQ83" s="233"/>
      <c r="BR83" s="233"/>
      <c r="BS83" s="233"/>
      <c r="BT83" s="233"/>
      <c r="BU83" s="233"/>
      <c r="BV83" s="233"/>
      <c r="BW83" s="233"/>
      <c r="BX83" s="233"/>
      <c r="BY83" s="233"/>
      <c r="BZ83" s="233"/>
      <c r="CA83" s="233"/>
      <c r="CB83" s="233"/>
      <c r="CC83" s="233"/>
      <c r="CD83" s="234"/>
      <c r="CE83" s="234"/>
      <c r="CF83" s="234"/>
    </row>
    <row r="84" spans="1:84" s="235" customFormat="1" ht="13.5" thickBot="1">
      <c r="E84" s="236"/>
      <c r="F84" s="236"/>
      <c r="J84" s="720"/>
      <c r="Q84" s="235">
        <f>COUNTIF(Q4:Q54,"F0")</f>
        <v>0</v>
      </c>
      <c r="BH84" s="720"/>
    </row>
    <row r="85" spans="1:84" s="206" customFormat="1">
      <c r="A85" s="239"/>
      <c r="B85" s="239"/>
      <c r="C85" s="239"/>
      <c r="D85" s="240"/>
      <c r="E85" s="241"/>
      <c r="F85" s="241"/>
      <c r="G85" s="242"/>
      <c r="H85" s="243"/>
      <c r="I85" s="242"/>
      <c r="J85" s="721"/>
      <c r="K85" s="242"/>
      <c r="L85" s="242"/>
      <c r="M85" s="242"/>
      <c r="N85" s="242"/>
      <c r="O85" s="242"/>
      <c r="P85" s="244" t="s">
        <v>174</v>
      </c>
      <c r="Q85" s="16">
        <f>COUNTIF(Q4:Q54,"F1")+COUNTIF(Q4:Q54,"Q1")</f>
        <v>0</v>
      </c>
      <c r="R85" s="245">
        <f t="shared" ref="R85:AL85" si="0">COUNTIF(R4:R84,"F0")</f>
        <v>0</v>
      </c>
      <c r="S85" s="245">
        <f t="shared" si="0"/>
        <v>0</v>
      </c>
      <c r="T85" s="245">
        <f t="shared" si="0"/>
        <v>0</v>
      </c>
      <c r="U85" s="245">
        <f t="shared" si="0"/>
        <v>0</v>
      </c>
      <c r="V85" s="245">
        <f t="shared" si="0"/>
        <v>0</v>
      </c>
      <c r="W85" s="245">
        <f t="shared" si="0"/>
        <v>0</v>
      </c>
      <c r="X85" s="245">
        <f t="shared" si="0"/>
        <v>0</v>
      </c>
      <c r="Y85" s="245">
        <f t="shared" si="0"/>
        <v>0</v>
      </c>
      <c r="Z85" s="245">
        <f t="shared" si="0"/>
        <v>1</v>
      </c>
      <c r="AA85" s="245">
        <f t="shared" si="0"/>
        <v>0</v>
      </c>
      <c r="AB85" s="245">
        <f t="shared" si="0"/>
        <v>0</v>
      </c>
      <c r="AC85" s="245">
        <f t="shared" si="0"/>
        <v>0</v>
      </c>
      <c r="AD85" s="245">
        <f t="shared" si="0"/>
        <v>0</v>
      </c>
      <c r="AE85" s="245">
        <f t="shared" si="0"/>
        <v>0</v>
      </c>
      <c r="AF85" s="245">
        <f t="shared" si="0"/>
        <v>0</v>
      </c>
      <c r="AG85" s="245">
        <f t="shared" si="0"/>
        <v>0</v>
      </c>
      <c r="AH85" s="245">
        <f t="shared" si="0"/>
        <v>0</v>
      </c>
      <c r="AI85" s="245">
        <f t="shared" si="0"/>
        <v>0</v>
      </c>
      <c r="AJ85" s="245">
        <f t="shared" si="0"/>
        <v>0</v>
      </c>
      <c r="AK85" s="245">
        <f t="shared" si="0"/>
        <v>0</v>
      </c>
      <c r="AL85" s="245">
        <f t="shared" si="0"/>
        <v>0</v>
      </c>
      <c r="AM85" s="245"/>
      <c r="AN85" s="245">
        <f>COUNTIF(AN4:AN84,"F0")</f>
        <v>0</v>
      </c>
      <c r="AO85" s="245">
        <f>COUNTIF(AO4:AO84,"F0")</f>
        <v>0</v>
      </c>
      <c r="AP85" s="245">
        <f>COUNTIF(AP4:AP84,"F0")</f>
        <v>0</v>
      </c>
      <c r="AQ85" s="246">
        <f>COUNTIF(AQ4:AQ84,"F0")</f>
        <v>0</v>
      </c>
      <c r="AR85" s="247"/>
      <c r="AS85" s="247"/>
      <c r="AT85" s="248"/>
      <c r="AU85" s="248"/>
      <c r="AV85" s="248"/>
      <c r="AW85" s="248"/>
      <c r="AX85" s="248"/>
      <c r="AY85" s="248"/>
      <c r="AZ85" s="248"/>
      <c r="BA85" s="248"/>
      <c r="BB85" s="248"/>
      <c r="BC85" s="248"/>
      <c r="BD85" s="248"/>
      <c r="BE85" s="248"/>
      <c r="BF85" s="248"/>
      <c r="BG85" s="247"/>
      <c r="BH85" s="736"/>
      <c r="BI85" s="247"/>
      <c r="BJ85" s="247"/>
      <c r="BK85" s="247"/>
      <c r="BL85" s="247"/>
      <c r="BM85" s="237"/>
      <c r="BN85" s="237"/>
      <c r="BO85" s="237"/>
      <c r="BP85" s="237"/>
      <c r="BQ85" s="237"/>
      <c r="BR85" s="237"/>
      <c r="BS85" s="237"/>
      <c r="BT85" s="237"/>
      <c r="BU85" s="237"/>
      <c r="BV85" s="237"/>
      <c r="BW85" s="237"/>
      <c r="BX85" s="237"/>
      <c r="BY85" s="237"/>
      <c r="BZ85" s="237"/>
      <c r="CA85" s="237"/>
      <c r="CB85" s="237"/>
      <c r="CC85" s="237"/>
      <c r="CD85" s="238">
        <f>COUNTIF(CD4:CD50,"P2")</f>
        <v>0</v>
      </c>
      <c r="CE85" s="238">
        <f>COUNTIF(CE4:CE50,"P2")</f>
        <v>0</v>
      </c>
      <c r="CF85" s="238">
        <f>COUNTIF(CF4:CF50,"P2")</f>
        <v>0</v>
      </c>
    </row>
    <row r="86" spans="1:84" s="206" customFormat="1">
      <c r="A86" s="239"/>
      <c r="B86" s="239"/>
      <c r="C86" s="239"/>
      <c r="D86" s="240"/>
      <c r="E86" s="241"/>
      <c r="F86" s="241"/>
      <c r="G86" s="242"/>
      <c r="H86" s="243"/>
      <c r="I86" s="242"/>
      <c r="J86" s="721"/>
      <c r="K86" s="242"/>
      <c r="L86" s="242"/>
      <c r="M86" s="242"/>
      <c r="N86" s="242"/>
      <c r="O86" s="242"/>
      <c r="P86" s="249" t="s">
        <v>175</v>
      </c>
      <c r="Q86" s="16">
        <f>COUNTIF(Q4:Q54,"F2")</f>
        <v>0</v>
      </c>
      <c r="R86" s="250">
        <f t="shared" ref="R86:AQ86" si="1">COUNTIF(R4:R84,"F1")+COUNTIF(R4:R84,"Q1")</f>
        <v>0</v>
      </c>
      <c r="S86" s="250">
        <f t="shared" si="1"/>
        <v>0</v>
      </c>
      <c r="T86" s="250">
        <f t="shared" si="1"/>
        <v>0</v>
      </c>
      <c r="U86" s="250">
        <f t="shared" si="1"/>
        <v>0</v>
      </c>
      <c r="V86" s="250">
        <f t="shared" si="1"/>
        <v>0</v>
      </c>
      <c r="W86" s="250">
        <f t="shared" si="1"/>
        <v>0</v>
      </c>
      <c r="X86" s="250">
        <f t="shared" si="1"/>
        <v>0</v>
      </c>
      <c r="Y86" s="250">
        <f t="shared" si="1"/>
        <v>0</v>
      </c>
      <c r="Z86" s="250">
        <f t="shared" si="1"/>
        <v>0</v>
      </c>
      <c r="AA86" s="250">
        <f t="shared" si="1"/>
        <v>0</v>
      </c>
      <c r="AB86" s="250">
        <f t="shared" si="1"/>
        <v>0</v>
      </c>
      <c r="AC86" s="250">
        <f t="shared" si="1"/>
        <v>0</v>
      </c>
      <c r="AD86" s="250">
        <f t="shared" si="1"/>
        <v>0</v>
      </c>
      <c r="AE86" s="250">
        <f t="shared" si="1"/>
        <v>0</v>
      </c>
      <c r="AF86" s="250">
        <f t="shared" si="1"/>
        <v>0</v>
      </c>
      <c r="AG86" s="250">
        <f t="shared" si="1"/>
        <v>0</v>
      </c>
      <c r="AH86" s="250">
        <f t="shared" si="1"/>
        <v>0</v>
      </c>
      <c r="AI86" s="250">
        <f t="shared" si="1"/>
        <v>0</v>
      </c>
      <c r="AJ86" s="250">
        <f t="shared" si="1"/>
        <v>0</v>
      </c>
      <c r="AK86" s="250">
        <f t="shared" si="1"/>
        <v>0</v>
      </c>
      <c r="AL86" s="250">
        <f t="shared" si="1"/>
        <v>0</v>
      </c>
      <c r="AM86" s="250">
        <f t="shared" si="1"/>
        <v>0</v>
      </c>
      <c r="AN86" s="250">
        <f t="shared" si="1"/>
        <v>0</v>
      </c>
      <c r="AO86" s="250">
        <f t="shared" si="1"/>
        <v>0</v>
      </c>
      <c r="AP86" s="250">
        <f t="shared" si="1"/>
        <v>0</v>
      </c>
      <c r="AQ86" s="251">
        <f t="shared" si="1"/>
        <v>0</v>
      </c>
      <c r="AR86" s="247"/>
      <c r="AS86" s="247"/>
      <c r="AT86" s="248"/>
      <c r="AU86" s="248"/>
      <c r="AV86" s="248"/>
      <c r="AW86" s="248"/>
      <c r="AX86" s="248"/>
      <c r="AY86" s="248"/>
      <c r="AZ86" s="248"/>
      <c r="BA86" s="248"/>
      <c r="BB86" s="248"/>
      <c r="BC86" s="248"/>
      <c r="BD86" s="248"/>
      <c r="BE86" s="235"/>
      <c r="BF86" s="248"/>
      <c r="BG86" s="247"/>
      <c r="BH86" s="736"/>
      <c r="BI86" s="247"/>
      <c r="BJ86" s="247"/>
      <c r="BK86" s="247"/>
      <c r="BL86" s="247"/>
      <c r="BM86" s="237"/>
      <c r="BN86" s="237"/>
      <c r="BO86" s="237"/>
      <c r="BP86" s="237"/>
      <c r="BQ86" s="237"/>
      <c r="BR86" s="237"/>
      <c r="BS86" s="237"/>
      <c r="BT86" s="237"/>
      <c r="BU86" s="237"/>
      <c r="BV86" s="237"/>
      <c r="BW86" s="237"/>
      <c r="BX86" s="237"/>
      <c r="BY86" s="237"/>
      <c r="BZ86" s="237"/>
      <c r="CA86" s="237"/>
      <c r="CB86" s="237"/>
      <c r="CC86" s="237"/>
      <c r="CD86" s="238">
        <f>COUNTIF(CD4:CD50,"P3")</f>
        <v>0</v>
      </c>
      <c r="CE86" s="238">
        <f>COUNTIF(CE4:CE50,"P3")</f>
        <v>0</v>
      </c>
      <c r="CF86" s="238">
        <f>COUNTIF(CF4:CF50,"P3")</f>
        <v>0</v>
      </c>
    </row>
    <row r="87" spans="1:84" s="206" customFormat="1">
      <c r="A87" s="239"/>
      <c r="B87" s="239"/>
      <c r="C87" s="239"/>
      <c r="D87" s="240"/>
      <c r="E87" s="241"/>
      <c r="F87" s="241"/>
      <c r="G87" s="242"/>
      <c r="H87" s="243"/>
      <c r="I87" s="242"/>
      <c r="J87" s="721"/>
      <c r="K87" s="242"/>
      <c r="L87" s="242"/>
      <c r="M87" s="242"/>
      <c r="N87" s="242"/>
      <c r="O87" s="242"/>
      <c r="P87" s="249" t="s">
        <v>176</v>
      </c>
      <c r="Q87" s="16">
        <f>COUNTIF(Q4:Q54,"F3")</f>
        <v>0</v>
      </c>
      <c r="R87" s="250">
        <f t="shared" ref="R87:AQ87" si="2">COUNTIF(R4:R84,"F2")</f>
        <v>0</v>
      </c>
      <c r="S87" s="250">
        <f t="shared" si="2"/>
        <v>0</v>
      </c>
      <c r="T87" s="250">
        <f t="shared" si="2"/>
        <v>0</v>
      </c>
      <c r="U87" s="250">
        <f t="shared" si="2"/>
        <v>0</v>
      </c>
      <c r="V87" s="250">
        <f t="shared" si="2"/>
        <v>0</v>
      </c>
      <c r="W87" s="250">
        <f t="shared" si="2"/>
        <v>0</v>
      </c>
      <c r="X87" s="250">
        <f t="shared" si="2"/>
        <v>0</v>
      </c>
      <c r="Y87" s="250">
        <f t="shared" si="2"/>
        <v>0</v>
      </c>
      <c r="Z87" s="250">
        <f t="shared" si="2"/>
        <v>0</v>
      </c>
      <c r="AA87" s="250">
        <f t="shared" si="2"/>
        <v>0</v>
      </c>
      <c r="AB87" s="250">
        <f t="shared" si="2"/>
        <v>0</v>
      </c>
      <c r="AC87" s="250">
        <f t="shared" si="2"/>
        <v>0</v>
      </c>
      <c r="AD87" s="250">
        <f t="shared" si="2"/>
        <v>0</v>
      </c>
      <c r="AE87" s="250">
        <f t="shared" si="2"/>
        <v>0</v>
      </c>
      <c r="AF87" s="250">
        <f t="shared" si="2"/>
        <v>0</v>
      </c>
      <c r="AG87" s="250">
        <f t="shared" si="2"/>
        <v>0</v>
      </c>
      <c r="AH87" s="250">
        <f t="shared" si="2"/>
        <v>0</v>
      </c>
      <c r="AI87" s="250">
        <f t="shared" si="2"/>
        <v>0</v>
      </c>
      <c r="AJ87" s="250">
        <f t="shared" si="2"/>
        <v>0</v>
      </c>
      <c r="AK87" s="250">
        <f t="shared" si="2"/>
        <v>0</v>
      </c>
      <c r="AL87" s="250">
        <f t="shared" si="2"/>
        <v>0</v>
      </c>
      <c r="AM87" s="250">
        <f t="shared" si="2"/>
        <v>0</v>
      </c>
      <c r="AN87" s="250">
        <f t="shared" si="2"/>
        <v>0</v>
      </c>
      <c r="AO87" s="250">
        <f t="shared" si="2"/>
        <v>0</v>
      </c>
      <c r="AP87" s="250">
        <f t="shared" si="2"/>
        <v>0</v>
      </c>
      <c r="AQ87" s="251">
        <f t="shared" si="2"/>
        <v>0</v>
      </c>
      <c r="AR87" s="247"/>
      <c r="AS87" s="247"/>
      <c r="AT87" s="248"/>
      <c r="AU87" s="248"/>
      <c r="AV87" s="248"/>
      <c r="AW87" s="248"/>
      <c r="AX87" s="248"/>
      <c r="AY87" s="248"/>
      <c r="AZ87" s="248"/>
      <c r="BA87" s="248"/>
      <c r="BB87" s="248"/>
      <c r="BC87" s="248"/>
      <c r="BD87" s="248"/>
      <c r="BE87" s="248"/>
      <c r="BF87" s="248"/>
      <c r="BG87" s="247"/>
      <c r="BH87" s="736"/>
      <c r="BI87" s="247"/>
      <c r="BJ87" s="247"/>
      <c r="BK87" s="247"/>
      <c r="BL87" s="247"/>
      <c r="BM87" s="237"/>
      <c r="BN87" s="237"/>
      <c r="BO87" s="237"/>
      <c r="BP87" s="237"/>
      <c r="BQ87" s="237"/>
      <c r="BR87" s="237"/>
      <c r="BS87" s="237"/>
      <c r="BT87" s="237"/>
      <c r="BU87" s="237"/>
      <c r="BV87" s="237"/>
      <c r="BW87" s="237"/>
      <c r="BX87" s="237"/>
      <c r="BY87" s="237"/>
      <c r="BZ87" s="237"/>
      <c r="CA87" s="237"/>
      <c r="CB87" s="237"/>
      <c r="CC87" s="237"/>
      <c r="CD87" s="238">
        <f>COUNTIF(CD4:CD50,"P5")</f>
        <v>0</v>
      </c>
      <c r="CE87" s="238">
        <f>COUNTIF(CE4:CE50,"P5")</f>
        <v>0</v>
      </c>
      <c r="CF87" s="238">
        <f>COUNTIF(CF4:CF50,"P5")</f>
        <v>0</v>
      </c>
    </row>
    <row r="88" spans="1:84" s="206" customFormat="1">
      <c r="A88" s="239"/>
      <c r="B88" s="239"/>
      <c r="C88" s="239"/>
      <c r="D88" s="240"/>
      <c r="E88" s="241"/>
      <c r="F88" s="241"/>
      <c r="G88" s="242"/>
      <c r="H88" s="243"/>
      <c r="I88" s="242"/>
      <c r="J88" s="721"/>
      <c r="K88" s="242"/>
      <c r="L88" s="242"/>
      <c r="M88" s="242"/>
      <c r="N88" s="242"/>
      <c r="O88" s="242"/>
      <c r="P88" s="249" t="s">
        <v>177</v>
      </c>
      <c r="Q88" s="16">
        <f>COUNTIF(Q4:Q54,"F4")</f>
        <v>0</v>
      </c>
      <c r="R88" s="250">
        <f t="shared" ref="R88:AQ88" si="3">COUNTIF(R4:R84,"F3")</f>
        <v>0</v>
      </c>
      <c r="S88" s="250">
        <f t="shared" si="3"/>
        <v>0</v>
      </c>
      <c r="T88" s="250">
        <f t="shared" si="3"/>
        <v>0</v>
      </c>
      <c r="U88" s="250">
        <f t="shared" si="3"/>
        <v>0</v>
      </c>
      <c r="V88" s="250">
        <f t="shared" si="3"/>
        <v>0</v>
      </c>
      <c r="W88" s="250">
        <f t="shared" si="3"/>
        <v>0</v>
      </c>
      <c r="X88" s="250">
        <f t="shared" si="3"/>
        <v>0</v>
      </c>
      <c r="Y88" s="250">
        <f t="shared" si="3"/>
        <v>0</v>
      </c>
      <c r="Z88" s="250">
        <f t="shared" si="3"/>
        <v>0</v>
      </c>
      <c r="AA88" s="250">
        <f t="shared" si="3"/>
        <v>0</v>
      </c>
      <c r="AB88" s="250">
        <f t="shared" si="3"/>
        <v>0</v>
      </c>
      <c r="AC88" s="250">
        <f t="shared" si="3"/>
        <v>0</v>
      </c>
      <c r="AD88" s="250">
        <f t="shared" si="3"/>
        <v>0</v>
      </c>
      <c r="AE88" s="250">
        <f t="shared" si="3"/>
        <v>0</v>
      </c>
      <c r="AF88" s="250">
        <f t="shared" si="3"/>
        <v>0</v>
      </c>
      <c r="AG88" s="250">
        <f t="shared" si="3"/>
        <v>0</v>
      </c>
      <c r="AH88" s="250">
        <f t="shared" si="3"/>
        <v>0</v>
      </c>
      <c r="AI88" s="250">
        <f t="shared" si="3"/>
        <v>0</v>
      </c>
      <c r="AJ88" s="250">
        <f t="shared" si="3"/>
        <v>0</v>
      </c>
      <c r="AK88" s="250">
        <f t="shared" si="3"/>
        <v>0</v>
      </c>
      <c r="AL88" s="250">
        <f t="shared" si="3"/>
        <v>0</v>
      </c>
      <c r="AM88" s="250">
        <f t="shared" si="3"/>
        <v>0</v>
      </c>
      <c r="AN88" s="250">
        <f t="shared" si="3"/>
        <v>0</v>
      </c>
      <c r="AO88" s="250">
        <f t="shared" si="3"/>
        <v>0</v>
      </c>
      <c r="AP88" s="250">
        <f t="shared" si="3"/>
        <v>0</v>
      </c>
      <c r="AQ88" s="251">
        <f t="shared" si="3"/>
        <v>0</v>
      </c>
      <c r="AR88" s="247"/>
      <c r="AS88" s="247"/>
      <c r="AT88" s="248"/>
      <c r="AU88" s="248"/>
      <c r="AV88" s="248"/>
      <c r="AW88" s="248"/>
      <c r="AX88" s="248"/>
      <c r="AY88" s="248"/>
      <c r="AZ88" s="248"/>
      <c r="BA88" s="248"/>
      <c r="BB88" s="248"/>
      <c r="BC88" s="248"/>
      <c r="BD88" s="248"/>
      <c r="BE88" s="248"/>
      <c r="BF88" s="248"/>
      <c r="BG88" s="247"/>
      <c r="BH88" s="736"/>
      <c r="BI88" s="247"/>
      <c r="BJ88" s="247"/>
      <c r="BK88" s="247"/>
      <c r="BL88" s="247"/>
      <c r="BM88" s="237"/>
      <c r="BN88" s="237"/>
      <c r="BO88" s="237"/>
      <c r="BP88" s="237"/>
      <c r="BQ88" s="237"/>
      <c r="BR88" s="237"/>
      <c r="BS88" s="237"/>
      <c r="BT88" s="237"/>
      <c r="BU88" s="237"/>
      <c r="BV88" s="237"/>
      <c r="BW88" s="237"/>
      <c r="BX88" s="237"/>
      <c r="BY88" s="237"/>
      <c r="BZ88" s="237"/>
      <c r="CA88" s="237"/>
      <c r="CB88" s="237"/>
      <c r="CC88" s="237"/>
      <c r="CD88" s="15"/>
      <c r="CE88" s="15"/>
      <c r="CF88" s="15"/>
    </row>
    <row r="89" spans="1:84" s="206" customFormat="1">
      <c r="A89" s="239"/>
      <c r="B89" s="239"/>
      <c r="C89" s="239"/>
      <c r="D89" s="240"/>
      <c r="E89" s="241"/>
      <c r="F89" s="241"/>
      <c r="G89" s="242"/>
      <c r="H89" s="243"/>
      <c r="I89" s="242"/>
      <c r="J89" s="721"/>
      <c r="K89" s="242"/>
      <c r="L89" s="252"/>
      <c r="M89" s="242"/>
      <c r="N89" s="242"/>
      <c r="O89" s="242"/>
      <c r="P89" s="249" t="s">
        <v>178</v>
      </c>
      <c r="Q89" s="16">
        <f>COUNTIF(Q4:Q54,"P1")</f>
        <v>0</v>
      </c>
      <c r="R89" s="250">
        <f t="shared" ref="R89:AL89" si="4">COUNTIF(R4:R84,"F4")</f>
        <v>0</v>
      </c>
      <c r="S89" s="250">
        <f t="shared" si="4"/>
        <v>0</v>
      </c>
      <c r="T89" s="250">
        <f t="shared" si="4"/>
        <v>0</v>
      </c>
      <c r="U89" s="250">
        <f t="shared" si="4"/>
        <v>0</v>
      </c>
      <c r="V89" s="250">
        <f t="shared" si="4"/>
        <v>0</v>
      </c>
      <c r="W89" s="250">
        <f t="shared" si="4"/>
        <v>0</v>
      </c>
      <c r="X89" s="250">
        <f t="shared" si="4"/>
        <v>0</v>
      </c>
      <c r="Y89" s="250">
        <f t="shared" si="4"/>
        <v>0</v>
      </c>
      <c r="Z89" s="250">
        <f t="shared" si="4"/>
        <v>0</v>
      </c>
      <c r="AA89" s="250">
        <f t="shared" si="4"/>
        <v>0</v>
      </c>
      <c r="AB89" s="250">
        <f t="shared" si="4"/>
        <v>0</v>
      </c>
      <c r="AC89" s="250">
        <f t="shared" si="4"/>
        <v>0</v>
      </c>
      <c r="AD89" s="250">
        <f t="shared" si="4"/>
        <v>0</v>
      </c>
      <c r="AE89" s="250">
        <f t="shared" si="4"/>
        <v>0</v>
      </c>
      <c r="AF89" s="250">
        <f t="shared" si="4"/>
        <v>0</v>
      </c>
      <c r="AG89" s="250">
        <f t="shared" si="4"/>
        <v>0</v>
      </c>
      <c r="AH89" s="250">
        <f t="shared" si="4"/>
        <v>0</v>
      </c>
      <c r="AI89" s="250">
        <f t="shared" si="4"/>
        <v>0</v>
      </c>
      <c r="AJ89" s="250">
        <f t="shared" si="4"/>
        <v>0</v>
      </c>
      <c r="AK89" s="250">
        <f t="shared" si="4"/>
        <v>0</v>
      </c>
      <c r="AL89" s="250">
        <f t="shared" si="4"/>
        <v>0</v>
      </c>
      <c r="AM89" s="250"/>
      <c r="AN89" s="250">
        <f>COUNTIF(AN4:AN84,"F4")</f>
        <v>0</v>
      </c>
      <c r="AO89" s="250">
        <f>COUNTIF(AO4:AO84,"F4")</f>
        <v>0</v>
      </c>
      <c r="AP89" s="250">
        <f>COUNTIF(AP4:AP84,"F4")</f>
        <v>0</v>
      </c>
      <c r="AQ89" s="251">
        <f>COUNTIF(AQ4:AQ84,"F4")</f>
        <v>0</v>
      </c>
      <c r="AR89" s="247"/>
      <c r="AS89" s="247"/>
      <c r="AT89" s="248"/>
      <c r="AU89" s="248"/>
      <c r="AV89" s="248"/>
      <c r="AW89" s="248"/>
      <c r="AX89" s="248"/>
      <c r="AY89" s="248"/>
      <c r="AZ89" s="248"/>
      <c r="BA89" s="248"/>
      <c r="BB89" s="248"/>
      <c r="BC89" s="248"/>
      <c r="BD89" s="248"/>
      <c r="BE89" s="248"/>
      <c r="BF89" s="248"/>
      <c r="BG89" s="247"/>
      <c r="BH89" s="736"/>
      <c r="BI89" s="247"/>
      <c r="BJ89" s="247"/>
      <c r="BK89" s="247"/>
      <c r="BL89" s="247"/>
      <c r="BM89" s="237"/>
      <c r="BN89" s="237"/>
      <c r="BO89" s="237"/>
      <c r="BP89" s="237"/>
      <c r="BQ89" s="237"/>
      <c r="BR89" s="237"/>
      <c r="BS89" s="237"/>
      <c r="BT89" s="237"/>
      <c r="BU89" s="237"/>
      <c r="BV89" s="237"/>
      <c r="BW89" s="237"/>
      <c r="BX89" s="237"/>
      <c r="BY89" s="237"/>
      <c r="BZ89" s="237"/>
      <c r="CA89" s="237"/>
      <c r="CB89" s="237"/>
      <c r="CC89" s="237"/>
      <c r="CD89" s="15"/>
      <c r="CE89" s="15"/>
      <c r="CF89" s="15"/>
    </row>
    <row r="90" spans="1:84" s="206" customFormat="1">
      <c r="A90" s="239"/>
      <c r="B90" s="239"/>
      <c r="C90" s="239"/>
      <c r="D90" s="240"/>
      <c r="E90" s="241"/>
      <c r="F90" s="241"/>
      <c r="G90" s="242"/>
      <c r="H90" s="243"/>
      <c r="I90" s="242"/>
      <c r="J90" s="721"/>
      <c r="K90" s="242"/>
      <c r="L90" s="242"/>
      <c r="M90" s="242"/>
      <c r="N90" s="242"/>
      <c r="O90" s="242"/>
      <c r="P90" s="249" t="s">
        <v>179</v>
      </c>
      <c r="Q90" s="16">
        <f>COUNTIF(Q4:Q54,"P2")</f>
        <v>0</v>
      </c>
      <c r="R90" s="250">
        <f t="shared" ref="R90:AL90" si="5">COUNTIF(R4:R84,"P1")</f>
        <v>3</v>
      </c>
      <c r="S90" s="250">
        <f t="shared" si="5"/>
        <v>3</v>
      </c>
      <c r="T90" s="250">
        <f t="shared" si="5"/>
        <v>1</v>
      </c>
      <c r="U90" s="250">
        <f t="shared" si="5"/>
        <v>1</v>
      </c>
      <c r="V90" s="250">
        <f t="shared" si="5"/>
        <v>0</v>
      </c>
      <c r="W90" s="250">
        <f t="shared" si="5"/>
        <v>1</v>
      </c>
      <c r="X90" s="250">
        <f t="shared" si="5"/>
        <v>1</v>
      </c>
      <c r="Y90" s="250">
        <f t="shared" si="5"/>
        <v>0</v>
      </c>
      <c r="Z90" s="250">
        <f t="shared" si="5"/>
        <v>0</v>
      </c>
      <c r="AA90" s="250">
        <f t="shared" si="5"/>
        <v>0</v>
      </c>
      <c r="AB90" s="250">
        <f t="shared" si="5"/>
        <v>1</v>
      </c>
      <c r="AC90" s="250">
        <f t="shared" si="5"/>
        <v>0</v>
      </c>
      <c r="AD90" s="250">
        <f t="shared" si="5"/>
        <v>0</v>
      </c>
      <c r="AE90" s="250">
        <f t="shared" si="5"/>
        <v>0</v>
      </c>
      <c r="AF90" s="250">
        <f t="shared" si="5"/>
        <v>0</v>
      </c>
      <c r="AG90" s="250">
        <f t="shared" si="5"/>
        <v>0</v>
      </c>
      <c r="AH90" s="250">
        <f t="shared" si="5"/>
        <v>0</v>
      </c>
      <c r="AI90" s="250">
        <f t="shared" si="5"/>
        <v>0</v>
      </c>
      <c r="AJ90" s="250">
        <f t="shared" si="5"/>
        <v>0</v>
      </c>
      <c r="AK90" s="250">
        <f t="shared" si="5"/>
        <v>0</v>
      </c>
      <c r="AL90" s="250">
        <f t="shared" si="5"/>
        <v>0</v>
      </c>
      <c r="AM90" s="250"/>
      <c r="AN90" s="250">
        <f>COUNTIF(AN4:AN84,"P1")</f>
        <v>0</v>
      </c>
      <c r="AO90" s="250">
        <f>COUNTIF(AO4:AO84,"P1")</f>
        <v>0</v>
      </c>
      <c r="AP90" s="250">
        <f>COUNTIF(AP4:AP84,"P1")</f>
        <v>0</v>
      </c>
      <c r="AQ90" s="251">
        <f>COUNTIF(AQ4:AQ84,"P1")</f>
        <v>0</v>
      </c>
      <c r="AR90" s="247"/>
      <c r="AS90" s="247"/>
      <c r="AT90" s="248"/>
      <c r="AU90" s="248"/>
      <c r="AV90" s="248"/>
      <c r="AW90" s="248"/>
      <c r="AX90" s="248"/>
      <c r="AY90" s="248"/>
      <c r="AZ90" s="248"/>
      <c r="BA90" s="248"/>
      <c r="BB90" s="248"/>
      <c r="BC90" s="248"/>
      <c r="BD90" s="248"/>
      <c r="BE90" s="248"/>
      <c r="BF90" s="248"/>
      <c r="BG90" s="247"/>
      <c r="BH90" s="736"/>
      <c r="BI90" s="247"/>
      <c r="BJ90" s="247"/>
      <c r="BK90" s="247"/>
      <c r="BL90" s="247"/>
      <c r="BM90" s="237"/>
      <c r="BN90" s="237"/>
      <c r="BO90" s="237"/>
      <c r="BP90" s="237"/>
      <c r="BQ90" s="237"/>
      <c r="BR90" s="237"/>
      <c r="BS90" s="237"/>
      <c r="BT90" s="237"/>
      <c r="BU90" s="237"/>
      <c r="BV90" s="237"/>
      <c r="BW90" s="237"/>
      <c r="BX90" s="237"/>
      <c r="BY90" s="237"/>
      <c r="BZ90" s="237"/>
      <c r="CA90" s="237"/>
      <c r="CB90" s="237"/>
      <c r="CC90" s="237"/>
      <c r="CD90" s="15"/>
      <c r="CE90" s="15"/>
      <c r="CF90" s="15"/>
    </row>
    <row r="91" spans="1:84" s="206" customFormat="1">
      <c r="A91" s="239"/>
      <c r="B91" s="239"/>
      <c r="C91" s="239"/>
      <c r="D91" s="240"/>
      <c r="E91" s="241"/>
      <c r="F91" s="241"/>
      <c r="G91" s="242"/>
      <c r="H91" s="243"/>
      <c r="I91" s="242"/>
      <c r="J91" s="721"/>
      <c r="K91" s="242"/>
      <c r="L91" s="242"/>
      <c r="M91" s="242"/>
      <c r="N91" s="242"/>
      <c r="O91" s="242"/>
      <c r="P91" s="249" t="s">
        <v>180</v>
      </c>
      <c r="Q91" s="16">
        <f>COUNTIF(Q4:Q54,"P3")</f>
        <v>0</v>
      </c>
      <c r="R91" s="250">
        <f t="shared" ref="R91:AL91" si="6">COUNTIF(R4:R84,"P2")</f>
        <v>3</v>
      </c>
      <c r="S91" s="250">
        <f t="shared" si="6"/>
        <v>0</v>
      </c>
      <c r="T91" s="250">
        <f t="shared" si="6"/>
        <v>1</v>
      </c>
      <c r="U91" s="250">
        <f t="shared" si="6"/>
        <v>1</v>
      </c>
      <c r="V91" s="250">
        <f t="shared" si="6"/>
        <v>4</v>
      </c>
      <c r="W91" s="250">
        <f t="shared" si="6"/>
        <v>2</v>
      </c>
      <c r="X91" s="250">
        <f t="shared" si="6"/>
        <v>0</v>
      </c>
      <c r="Y91" s="250">
        <f t="shared" si="6"/>
        <v>2</v>
      </c>
      <c r="Z91" s="250">
        <f t="shared" si="6"/>
        <v>0</v>
      </c>
      <c r="AA91" s="250">
        <f t="shared" si="6"/>
        <v>0</v>
      </c>
      <c r="AB91" s="250">
        <f t="shared" si="6"/>
        <v>0</v>
      </c>
      <c r="AC91" s="250">
        <f t="shared" si="6"/>
        <v>0</v>
      </c>
      <c r="AD91" s="250">
        <f t="shared" si="6"/>
        <v>1</v>
      </c>
      <c r="AE91" s="250">
        <f t="shared" si="6"/>
        <v>0</v>
      </c>
      <c r="AF91" s="250">
        <f t="shared" si="6"/>
        <v>0</v>
      </c>
      <c r="AG91" s="250">
        <f t="shared" si="6"/>
        <v>0</v>
      </c>
      <c r="AH91" s="250">
        <f t="shared" si="6"/>
        <v>0</v>
      </c>
      <c r="AI91" s="250">
        <f t="shared" si="6"/>
        <v>0</v>
      </c>
      <c r="AJ91" s="250">
        <f t="shared" si="6"/>
        <v>0</v>
      </c>
      <c r="AK91" s="250">
        <f t="shared" si="6"/>
        <v>1</v>
      </c>
      <c r="AL91" s="250">
        <f t="shared" si="6"/>
        <v>0</v>
      </c>
      <c r="AM91" s="250"/>
      <c r="AN91" s="250">
        <f>COUNTIF(AN4:AN84,"P2")</f>
        <v>0</v>
      </c>
      <c r="AO91" s="250">
        <f>COUNTIF(AO4:AO84,"P2")</f>
        <v>0</v>
      </c>
      <c r="AP91" s="250">
        <f>COUNTIF(AP4:AP84,"P2")</f>
        <v>0</v>
      </c>
      <c r="AQ91" s="251">
        <f>COUNTIF(AQ4:AQ84,"P2")</f>
        <v>0</v>
      </c>
      <c r="AR91" s="253"/>
      <c r="AS91" s="253"/>
      <c r="AT91" s="248"/>
      <c r="AU91" s="248"/>
      <c r="AV91" s="248"/>
      <c r="AW91" s="248"/>
      <c r="AX91" s="248"/>
      <c r="AY91" s="248"/>
      <c r="AZ91" s="248"/>
      <c r="BA91" s="248"/>
      <c r="BB91" s="248"/>
      <c r="BC91" s="248"/>
      <c r="BD91" s="248"/>
      <c r="BE91" s="248"/>
      <c r="BF91" s="248"/>
      <c r="BG91" s="247"/>
      <c r="BH91" s="736"/>
      <c r="BI91" s="247"/>
      <c r="BJ91" s="247"/>
      <c r="BK91" s="247"/>
      <c r="BL91" s="247"/>
      <c r="BM91" s="237"/>
      <c r="BN91" s="237"/>
      <c r="BO91" s="237"/>
      <c r="BP91" s="237"/>
      <c r="BQ91" s="237"/>
      <c r="BR91" s="237"/>
      <c r="BS91" s="237"/>
      <c r="BT91" s="237"/>
      <c r="BU91" s="237"/>
      <c r="BV91" s="237"/>
      <c r="BW91" s="237"/>
      <c r="BX91" s="237"/>
      <c r="BY91" s="237"/>
      <c r="BZ91" s="237"/>
      <c r="CA91" s="237"/>
      <c r="CB91" s="237"/>
      <c r="CC91" s="237"/>
      <c r="CD91" s="15"/>
      <c r="CE91" s="15"/>
      <c r="CF91" s="15"/>
    </row>
    <row r="92" spans="1:84" s="206" customFormat="1">
      <c r="A92" s="239"/>
      <c r="B92" s="239"/>
      <c r="C92" s="239"/>
      <c r="D92" s="240"/>
      <c r="E92" s="241"/>
      <c r="F92" s="241"/>
      <c r="G92" s="242"/>
      <c r="H92" s="243"/>
      <c r="I92" s="242"/>
      <c r="J92" s="721"/>
      <c r="K92" s="242"/>
      <c r="L92" s="242"/>
      <c r="M92" s="242"/>
      <c r="N92" s="242"/>
      <c r="O92" s="242"/>
      <c r="P92" s="249" t="s">
        <v>181</v>
      </c>
      <c r="Q92" s="16">
        <f>COUNTIF(Q4:Q54,"P4")+COUNTIF(Q4:Q54,"P5")</f>
        <v>0</v>
      </c>
      <c r="R92" s="250">
        <f t="shared" ref="R92:AL92" si="7">COUNTIF(R4:R84,"P3")</f>
        <v>0</v>
      </c>
      <c r="S92" s="250">
        <f t="shared" si="7"/>
        <v>0</v>
      </c>
      <c r="T92" s="250">
        <f t="shared" si="7"/>
        <v>0</v>
      </c>
      <c r="U92" s="250">
        <f t="shared" si="7"/>
        <v>0</v>
      </c>
      <c r="V92" s="250">
        <f t="shared" si="7"/>
        <v>0</v>
      </c>
      <c r="W92" s="250">
        <f t="shared" si="7"/>
        <v>0</v>
      </c>
      <c r="X92" s="250">
        <f t="shared" si="7"/>
        <v>0</v>
      </c>
      <c r="Y92" s="250">
        <f t="shared" si="7"/>
        <v>0</v>
      </c>
      <c r="Z92" s="250">
        <f t="shared" si="7"/>
        <v>0</v>
      </c>
      <c r="AA92" s="250">
        <f t="shared" si="7"/>
        <v>0</v>
      </c>
      <c r="AB92" s="250">
        <f t="shared" si="7"/>
        <v>0</v>
      </c>
      <c r="AC92" s="250">
        <f t="shared" si="7"/>
        <v>0</v>
      </c>
      <c r="AD92" s="250">
        <f t="shared" si="7"/>
        <v>0</v>
      </c>
      <c r="AE92" s="250">
        <f t="shared" si="7"/>
        <v>0</v>
      </c>
      <c r="AF92" s="250">
        <f t="shared" si="7"/>
        <v>0</v>
      </c>
      <c r="AG92" s="250">
        <f t="shared" si="7"/>
        <v>0</v>
      </c>
      <c r="AH92" s="250">
        <f t="shared" si="7"/>
        <v>0</v>
      </c>
      <c r="AI92" s="250">
        <f t="shared" si="7"/>
        <v>0</v>
      </c>
      <c r="AJ92" s="250">
        <f t="shared" si="7"/>
        <v>0</v>
      </c>
      <c r="AK92" s="250">
        <f t="shared" si="7"/>
        <v>0</v>
      </c>
      <c r="AL92" s="250">
        <f t="shared" si="7"/>
        <v>0</v>
      </c>
      <c r="AM92" s="250"/>
      <c r="AN92" s="250">
        <f>COUNTIF(AN4:AN84,"P3")</f>
        <v>0</v>
      </c>
      <c r="AO92" s="250">
        <f>COUNTIF(AO4:AO84,"P3")</f>
        <v>0</v>
      </c>
      <c r="AP92" s="250">
        <f>COUNTIF(AP4:AP84,"P3")</f>
        <v>0</v>
      </c>
      <c r="AQ92" s="251">
        <f>COUNTIF(AQ4:AQ84,"P3")</f>
        <v>0</v>
      </c>
      <c r="AR92" s="253"/>
      <c r="AS92" s="253"/>
      <c r="AT92" s="248"/>
      <c r="AU92" s="248"/>
      <c r="AV92" s="248"/>
      <c r="AW92" s="248"/>
      <c r="AX92" s="248"/>
      <c r="AY92" s="248"/>
      <c r="AZ92" s="248"/>
      <c r="BA92" s="248"/>
      <c r="BB92" s="248"/>
      <c r="BC92" s="248"/>
      <c r="BD92" s="248"/>
      <c r="BE92" s="248"/>
      <c r="BF92" s="248"/>
      <c r="BG92" s="247"/>
      <c r="BH92" s="736"/>
      <c r="BI92" s="247"/>
      <c r="BJ92" s="247"/>
      <c r="BK92" s="247"/>
      <c r="BL92" s="247"/>
      <c r="BM92" s="237"/>
      <c r="BN92" s="237"/>
      <c r="BO92" s="237"/>
      <c r="BP92" s="237"/>
      <c r="BQ92" s="237"/>
      <c r="BR92" s="237"/>
      <c r="BS92" s="237"/>
      <c r="BT92" s="237"/>
      <c r="BU92" s="237"/>
      <c r="BV92" s="237"/>
      <c r="BW92" s="237"/>
      <c r="BX92" s="237"/>
      <c r="BY92" s="237"/>
      <c r="BZ92" s="237"/>
      <c r="CA92" s="237"/>
      <c r="CB92" s="237"/>
      <c r="CC92" s="237"/>
      <c r="CD92" s="238">
        <f>SUM(CD84:CD87)</f>
        <v>0</v>
      </c>
      <c r="CE92" s="238">
        <f>SUM(CE84:CE87)</f>
        <v>0</v>
      </c>
      <c r="CF92" s="238">
        <f>SUM(CF84:CF87)</f>
        <v>0</v>
      </c>
    </row>
    <row r="93" spans="1:84" s="206" customFormat="1">
      <c r="A93" s="239"/>
      <c r="B93" s="239"/>
      <c r="C93" s="239"/>
      <c r="D93" s="240"/>
      <c r="E93" s="241"/>
      <c r="F93" s="241"/>
      <c r="G93" s="242"/>
      <c r="H93" s="243"/>
      <c r="I93" s="242"/>
      <c r="J93" s="242"/>
      <c r="K93" s="242"/>
      <c r="L93" s="242"/>
      <c r="M93" s="242"/>
      <c r="N93" s="242"/>
      <c r="O93" s="242"/>
      <c r="P93" s="249" t="s">
        <v>182</v>
      </c>
      <c r="Q93" s="16">
        <f>SUM(Q84:Q92)</f>
        <v>0</v>
      </c>
      <c r="R93" s="250">
        <f t="shared" ref="R93:AQ93" si="8">COUNTIF(R4:R84,"P4")+COUNTIF(R4:R84,"P5")</f>
        <v>0</v>
      </c>
      <c r="S93" s="250">
        <f t="shared" si="8"/>
        <v>0</v>
      </c>
      <c r="T93" s="250">
        <f t="shared" si="8"/>
        <v>2</v>
      </c>
      <c r="U93" s="250">
        <f t="shared" si="8"/>
        <v>1</v>
      </c>
      <c r="V93" s="250">
        <f t="shared" si="8"/>
        <v>1</v>
      </c>
      <c r="W93" s="250">
        <f t="shared" si="8"/>
        <v>2</v>
      </c>
      <c r="X93" s="250">
        <f t="shared" si="8"/>
        <v>1</v>
      </c>
      <c r="Y93" s="250">
        <f t="shared" si="8"/>
        <v>1</v>
      </c>
      <c r="Z93" s="250">
        <f t="shared" si="8"/>
        <v>2</v>
      </c>
      <c r="AA93" s="250">
        <f t="shared" si="8"/>
        <v>0</v>
      </c>
      <c r="AB93" s="250">
        <f t="shared" si="8"/>
        <v>1</v>
      </c>
      <c r="AC93" s="250">
        <f t="shared" si="8"/>
        <v>0</v>
      </c>
      <c r="AD93" s="250">
        <f t="shared" si="8"/>
        <v>0</v>
      </c>
      <c r="AE93" s="250">
        <f t="shared" si="8"/>
        <v>0</v>
      </c>
      <c r="AF93" s="250">
        <f t="shared" si="8"/>
        <v>0</v>
      </c>
      <c r="AG93" s="250">
        <f t="shared" si="8"/>
        <v>0</v>
      </c>
      <c r="AH93" s="250">
        <f t="shared" si="8"/>
        <v>0</v>
      </c>
      <c r="AI93" s="250">
        <f t="shared" si="8"/>
        <v>0</v>
      </c>
      <c r="AJ93" s="250">
        <f t="shared" si="8"/>
        <v>0</v>
      </c>
      <c r="AK93" s="250">
        <f t="shared" si="8"/>
        <v>0</v>
      </c>
      <c r="AL93" s="250">
        <f t="shared" si="8"/>
        <v>0</v>
      </c>
      <c r="AM93" s="250">
        <f t="shared" si="8"/>
        <v>0</v>
      </c>
      <c r="AN93" s="250">
        <f t="shared" si="8"/>
        <v>0</v>
      </c>
      <c r="AO93" s="250">
        <f t="shared" si="8"/>
        <v>0</v>
      </c>
      <c r="AP93" s="250">
        <f t="shared" si="8"/>
        <v>0</v>
      </c>
      <c r="AQ93" s="251">
        <f t="shared" si="8"/>
        <v>0</v>
      </c>
      <c r="AR93" s="253"/>
      <c r="AS93" s="253"/>
      <c r="AT93" s="248"/>
      <c r="AU93" s="248"/>
      <c r="AV93" s="248"/>
      <c r="AW93" s="248"/>
      <c r="AX93" s="248"/>
      <c r="AY93" s="248"/>
      <c r="AZ93" s="248"/>
      <c r="BA93" s="248"/>
      <c r="BB93" s="248"/>
      <c r="BC93" s="248"/>
      <c r="BD93" s="248"/>
      <c r="BE93" s="248"/>
      <c r="BF93" s="248"/>
      <c r="BG93" s="247"/>
      <c r="BH93" s="736"/>
      <c r="BI93" s="247"/>
      <c r="BJ93" s="247"/>
      <c r="BK93" s="247"/>
      <c r="BL93" s="247"/>
      <c r="BM93" s="254"/>
      <c r="BN93" s="254"/>
      <c r="BO93" s="254"/>
      <c r="BP93" s="254"/>
      <c r="BQ93" s="254"/>
      <c r="BR93" s="254"/>
      <c r="BS93" s="254"/>
      <c r="BT93" s="254"/>
      <c r="BU93" s="254"/>
      <c r="BV93" s="254"/>
      <c r="BW93" s="254"/>
      <c r="BX93" s="254"/>
      <c r="BY93" s="254"/>
      <c r="BZ93" s="254"/>
      <c r="CA93" s="254"/>
      <c r="CB93" s="254"/>
      <c r="CC93" s="254"/>
      <c r="CD93" s="15"/>
      <c r="CE93" s="15"/>
      <c r="CF93" s="15"/>
    </row>
    <row r="94" spans="1:84" s="206" customFormat="1" ht="13.5" thickBot="1">
      <c r="A94" s="239"/>
      <c r="B94" s="239"/>
      <c r="C94" s="239"/>
      <c r="D94" s="240"/>
      <c r="E94" s="241"/>
      <c r="F94" s="241"/>
      <c r="G94" s="242"/>
      <c r="H94" s="243"/>
      <c r="I94" s="242"/>
      <c r="J94" s="242"/>
      <c r="K94" s="242"/>
      <c r="L94" s="242"/>
      <c r="M94" s="242"/>
      <c r="N94" s="242"/>
      <c r="O94" s="242"/>
      <c r="P94" s="255" t="s">
        <v>183</v>
      </c>
      <c r="Q94" s="25"/>
      <c r="R94" s="256">
        <f t="shared" ref="R94:AL94" si="9">SUM(R85:R93)</f>
        <v>6</v>
      </c>
      <c r="S94" s="256">
        <f t="shared" si="9"/>
        <v>3</v>
      </c>
      <c r="T94" s="256">
        <f t="shared" si="9"/>
        <v>4</v>
      </c>
      <c r="U94" s="256">
        <f t="shared" si="9"/>
        <v>3</v>
      </c>
      <c r="V94" s="256">
        <f t="shared" si="9"/>
        <v>5</v>
      </c>
      <c r="W94" s="256">
        <f t="shared" si="9"/>
        <v>5</v>
      </c>
      <c r="X94" s="256">
        <f t="shared" si="9"/>
        <v>2</v>
      </c>
      <c r="Y94" s="256">
        <f t="shared" si="9"/>
        <v>3</v>
      </c>
      <c r="Z94" s="256">
        <f t="shared" si="9"/>
        <v>3</v>
      </c>
      <c r="AA94" s="256">
        <f t="shared" si="9"/>
        <v>0</v>
      </c>
      <c r="AB94" s="256">
        <f t="shared" si="9"/>
        <v>2</v>
      </c>
      <c r="AC94" s="256">
        <f t="shared" si="9"/>
        <v>0</v>
      </c>
      <c r="AD94" s="256">
        <f t="shared" si="9"/>
        <v>1</v>
      </c>
      <c r="AE94" s="256">
        <f t="shared" si="9"/>
        <v>0</v>
      </c>
      <c r="AF94" s="256">
        <f t="shared" si="9"/>
        <v>0</v>
      </c>
      <c r="AG94" s="256">
        <f t="shared" si="9"/>
        <v>0</v>
      </c>
      <c r="AH94" s="256">
        <f t="shared" si="9"/>
        <v>0</v>
      </c>
      <c r="AI94" s="256">
        <f t="shared" si="9"/>
        <v>0</v>
      </c>
      <c r="AJ94" s="256">
        <f t="shared" si="9"/>
        <v>0</v>
      </c>
      <c r="AK94" s="256">
        <f t="shared" si="9"/>
        <v>1</v>
      </c>
      <c r="AL94" s="256">
        <f t="shared" si="9"/>
        <v>0</v>
      </c>
      <c r="AM94" s="256"/>
      <c r="AN94" s="256">
        <f>SUM(AN85:AN93)</f>
        <v>0</v>
      </c>
      <c r="AO94" s="256">
        <f>SUM(AO85:AO93)</f>
        <v>0</v>
      </c>
      <c r="AP94" s="256">
        <f>SUM(AP85:AP93)</f>
        <v>0</v>
      </c>
      <c r="AQ94" s="257">
        <f>SUM(AQ85:AQ93)</f>
        <v>0</v>
      </c>
      <c r="AR94" s="253"/>
      <c r="AS94" s="253"/>
      <c r="AT94" s="258"/>
      <c r="AU94" s="258"/>
      <c r="AV94" s="258"/>
      <c r="AW94" s="258"/>
      <c r="AX94" s="258"/>
      <c r="AY94" s="258"/>
      <c r="AZ94" s="258"/>
      <c r="BA94" s="258"/>
      <c r="BB94" s="258"/>
      <c r="BC94" s="258"/>
      <c r="BD94" s="258"/>
      <c r="BE94" s="258"/>
      <c r="BF94" s="258"/>
      <c r="BG94" s="259"/>
      <c r="BH94" s="736"/>
      <c r="BI94" s="259"/>
      <c r="BJ94" s="259"/>
      <c r="BK94" s="259"/>
      <c r="BL94" s="259"/>
      <c r="BM94" s="15"/>
      <c r="BN94" s="15"/>
      <c r="BO94" s="15"/>
      <c r="BP94" s="15"/>
      <c r="BQ94" s="15"/>
      <c r="BR94" s="15"/>
      <c r="BS94" s="15"/>
      <c r="BT94" s="15"/>
      <c r="BU94" s="15"/>
      <c r="BV94" s="15"/>
      <c r="BW94" s="15"/>
      <c r="BX94" s="15"/>
      <c r="BY94" s="15"/>
      <c r="BZ94" s="15"/>
      <c r="CA94" s="15"/>
      <c r="CB94" s="15"/>
      <c r="CC94" s="15"/>
      <c r="CD94" s="15"/>
      <c r="CE94" s="15"/>
      <c r="CF94" s="15"/>
    </row>
    <row r="95" spans="1:84">
      <c r="P95" s="1"/>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53"/>
      <c r="AS95" s="53"/>
    </row>
    <row r="96" spans="1:84">
      <c r="P96" s="1"/>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53"/>
      <c r="AS96" s="53"/>
    </row>
    <row r="124" spans="61:61">
      <c r="BI124" s="306"/>
    </row>
  </sheetData>
  <sheetProtection formatCells="0" autoFilter="0"/>
  <autoFilter ref="A3:BL111">
    <sortState ref="A4:ER82">
      <sortCondition ref="A3:A82"/>
    </sortState>
  </autoFilter>
  <customSheetViews>
    <customSheetView guid="{6F2D4CBE-F5EE-4D4C-B493-385FC7957A66}" scale="90" zeroValues="0" fitToPage="1" showAutoFilter="1">
      <pane xSplit="11" ySplit="3" topLeftCell="AS4" activePane="bottomRight" state="frozen"/>
      <selection pane="bottomRight" activeCell="BH50" sqref="BH50"/>
      <pageMargins left="0.25" right="0.25" top="0.27" bottom="0.42" header="0.3" footer="0.14000000000000001"/>
      <printOptions horizontalCentered="1" verticalCentered="1" gridLines="1"/>
      <pageSetup paperSize="8" scale="57" orientation="landscape" r:id="rId1"/>
      <headerFooter>
        <oddFooter>&amp;L&amp;Z&amp;F, &amp;A&amp;RIssued: 30-11-2016,
Printed: &amp;D, &amp;T</oddFooter>
      </headerFooter>
      <autoFilter ref="A3:BL94">
        <sortState ref="A4:ER82">
          <sortCondition ref="A3:A82"/>
        </sortState>
      </autoFilter>
    </customSheetView>
  </customSheetViews>
  <mergeCells count="5">
    <mergeCell ref="E1:I1"/>
    <mergeCell ref="E2:F2"/>
    <mergeCell ref="AR1:AS1"/>
    <mergeCell ref="K1:P1"/>
    <mergeCell ref="BI1:BL1"/>
  </mergeCells>
  <phoneticPr fontId="9"/>
  <conditionalFormatting sqref="H4:H36 H38:H52">
    <cfRule type="cellIs" dxfId="62" priority="67" operator="equal">
      <formula>"R"</formula>
    </cfRule>
    <cfRule type="cellIs" dxfId="61" priority="68" operator="equal">
      <formula>"N"</formula>
    </cfRule>
  </conditionalFormatting>
  <conditionalFormatting sqref="H23:H24">
    <cfRule type="cellIs" dxfId="60" priority="65" operator="equal">
      <formula>"N"</formula>
    </cfRule>
    <cfRule type="cellIs" dxfId="59" priority="66" operator="equal">
      <formula>"C"</formula>
    </cfRule>
  </conditionalFormatting>
  <conditionalFormatting sqref="H23:H24">
    <cfRule type="cellIs" dxfId="58" priority="64" operator="equal">
      <formula>"R"</formula>
    </cfRule>
  </conditionalFormatting>
  <conditionalFormatting sqref="H44">
    <cfRule type="cellIs" dxfId="57" priority="62" operator="equal">
      <formula>"N"</formula>
    </cfRule>
    <cfRule type="cellIs" dxfId="56" priority="63" operator="equal">
      <formula>"C"</formula>
    </cfRule>
  </conditionalFormatting>
  <conditionalFormatting sqref="H44">
    <cfRule type="cellIs" dxfId="55" priority="61" operator="equal">
      <formula>"R"</formula>
    </cfRule>
  </conditionalFormatting>
  <conditionalFormatting sqref="H45">
    <cfRule type="cellIs" dxfId="54" priority="59" operator="equal">
      <formula>"N"</formula>
    </cfRule>
    <cfRule type="cellIs" dxfId="53" priority="60" operator="equal">
      <formula>"C"</formula>
    </cfRule>
  </conditionalFormatting>
  <conditionalFormatting sqref="H45">
    <cfRule type="cellIs" dxfId="52" priority="58" operator="equal">
      <formula>"R"</formula>
    </cfRule>
  </conditionalFormatting>
  <conditionalFormatting sqref="H48">
    <cfRule type="cellIs" dxfId="51" priority="56" operator="equal">
      <formula>"N"</formula>
    </cfRule>
    <cfRule type="cellIs" dxfId="50" priority="57" operator="equal">
      <formula>"C"</formula>
    </cfRule>
  </conditionalFormatting>
  <conditionalFormatting sqref="H48">
    <cfRule type="cellIs" dxfId="49" priority="55" operator="equal">
      <formula>"R"</formula>
    </cfRule>
  </conditionalFormatting>
  <conditionalFormatting sqref="H49">
    <cfRule type="cellIs" dxfId="48" priority="53" operator="equal">
      <formula>"N"</formula>
    </cfRule>
    <cfRule type="cellIs" dxfId="47" priority="54" operator="equal">
      <formula>"C"</formula>
    </cfRule>
  </conditionalFormatting>
  <conditionalFormatting sqref="H49">
    <cfRule type="cellIs" dxfId="46" priority="52" operator="equal">
      <formula>"R"</formula>
    </cfRule>
  </conditionalFormatting>
  <conditionalFormatting sqref="H51">
    <cfRule type="cellIs" dxfId="45" priority="50" operator="equal">
      <formula>"N"</formula>
    </cfRule>
    <cfRule type="cellIs" dxfId="44" priority="51" operator="equal">
      <formula>"C"</formula>
    </cfRule>
  </conditionalFormatting>
  <conditionalFormatting sqref="H51">
    <cfRule type="cellIs" dxfId="43" priority="49" operator="equal">
      <formula>"R"</formula>
    </cfRule>
  </conditionalFormatting>
  <conditionalFormatting sqref="H52">
    <cfRule type="cellIs" dxfId="42" priority="47" operator="equal">
      <formula>"N"</formula>
    </cfRule>
    <cfRule type="cellIs" dxfId="41" priority="48" operator="equal">
      <formula>"C"</formula>
    </cfRule>
  </conditionalFormatting>
  <conditionalFormatting sqref="H52">
    <cfRule type="cellIs" dxfId="40" priority="46" operator="equal">
      <formula>"R"</formula>
    </cfRule>
  </conditionalFormatting>
  <conditionalFormatting sqref="H53">
    <cfRule type="cellIs" dxfId="39" priority="43" operator="equal">
      <formula>"R"</formula>
    </cfRule>
    <cfRule type="cellIs" dxfId="38" priority="44" operator="equal">
      <formula>"N"</formula>
    </cfRule>
  </conditionalFormatting>
  <conditionalFormatting sqref="H53">
    <cfRule type="cellIs" dxfId="37" priority="41" operator="equal">
      <formula>"N"</formula>
    </cfRule>
    <cfRule type="cellIs" dxfId="36" priority="42" operator="equal">
      <formula>"C"</formula>
    </cfRule>
  </conditionalFormatting>
  <conditionalFormatting sqref="H53">
    <cfRule type="cellIs" dxfId="35" priority="40" operator="equal">
      <formula>"R"</formula>
    </cfRule>
  </conditionalFormatting>
  <conditionalFormatting sqref="H37">
    <cfRule type="cellIs" dxfId="34" priority="37" operator="equal">
      <formula>"R"</formula>
    </cfRule>
    <cfRule type="cellIs" dxfId="33" priority="38" operator="equal">
      <formula>"N"</formula>
    </cfRule>
  </conditionalFormatting>
  <conditionalFormatting sqref="H54:H63">
    <cfRule type="cellIs" dxfId="32" priority="34" operator="equal">
      <formula>"R"</formula>
    </cfRule>
    <cfRule type="cellIs" dxfId="31" priority="35" operator="equal">
      <formula>"N"</formula>
    </cfRule>
  </conditionalFormatting>
  <conditionalFormatting sqref="H64">
    <cfRule type="cellIs" dxfId="30" priority="25" operator="equal">
      <formula>"R"</formula>
    </cfRule>
    <cfRule type="cellIs" dxfId="29" priority="26" operator="equal">
      <formula>"N"</formula>
    </cfRule>
  </conditionalFormatting>
  <conditionalFormatting sqref="H66">
    <cfRule type="cellIs" dxfId="28" priority="22" operator="equal">
      <formula>"R"</formula>
    </cfRule>
    <cfRule type="cellIs" dxfId="27" priority="23" operator="equal">
      <formula>"N"</formula>
    </cfRule>
  </conditionalFormatting>
  <conditionalFormatting sqref="H65">
    <cfRule type="cellIs" dxfId="26" priority="19" operator="equal">
      <formula>"R"</formula>
    </cfRule>
    <cfRule type="cellIs" dxfId="25" priority="20" operator="equal">
      <formula>"N"</formula>
    </cfRule>
  </conditionalFormatting>
  <conditionalFormatting sqref="H67">
    <cfRule type="cellIs" dxfId="24" priority="16" operator="equal">
      <formula>"R"</formula>
    </cfRule>
    <cfRule type="cellIs" dxfId="23" priority="17" operator="equal">
      <formula>"N"</formula>
    </cfRule>
  </conditionalFormatting>
  <conditionalFormatting sqref="H68">
    <cfRule type="cellIs" dxfId="22" priority="13" operator="equal">
      <formula>"R"</formula>
    </cfRule>
    <cfRule type="cellIs" dxfId="21" priority="14" operator="equal">
      <formula>"N"</formula>
    </cfRule>
  </conditionalFormatting>
  <conditionalFormatting sqref="H69">
    <cfRule type="cellIs" dxfId="20" priority="10" operator="equal">
      <formula>"R"</formula>
    </cfRule>
    <cfRule type="cellIs" dxfId="19" priority="11" operator="equal">
      <formula>"N"</formula>
    </cfRule>
  </conditionalFormatting>
  <conditionalFormatting sqref="H70">
    <cfRule type="cellIs" dxfId="18" priority="7" operator="equal">
      <formula>"R"</formula>
    </cfRule>
    <cfRule type="cellIs" dxfId="17" priority="8" operator="equal">
      <formula>"N"</formula>
    </cfRule>
  </conditionalFormatting>
  <conditionalFormatting sqref="H71:H82">
    <cfRule type="cellIs" dxfId="16" priority="4" operator="equal">
      <formula>"R"</formula>
    </cfRule>
    <cfRule type="cellIs" dxfId="15" priority="5" operator="equal">
      <formula>"N"</formula>
    </cfRule>
  </conditionalFormatting>
  <conditionalFormatting sqref="H83">
    <cfRule type="cellIs" dxfId="14" priority="1" operator="equal">
      <formula>"R"</formula>
    </cfRule>
    <cfRule type="cellIs" dxfId="13" priority="2" operator="equal">
      <formula>"N"</formula>
    </cfRule>
  </conditionalFormatting>
  <printOptions horizontalCentered="1" verticalCentered="1" gridLines="1"/>
  <pageMargins left="0.25" right="0.25" top="0.27" bottom="0.42" header="0.3" footer="0.14000000000000001"/>
  <pageSetup paperSize="8" scale="79" orientation="landscape" r:id="rId2"/>
  <headerFooter>
    <oddFooter>&amp;L&amp;Z&amp;F, &amp;A&amp;RIssued: 30-11-2016,
Printed: &amp;D, &amp;T</oddFooter>
  </headerFooter>
  <drawing r:id="rId3"/>
  <legacyDrawing r:id="rId4"/>
  <extLst>
    <ext xmlns:x14="http://schemas.microsoft.com/office/spreadsheetml/2009/9/main" uri="{78C0D931-6437-407d-A8EE-F0AAD7539E65}">
      <x14:conditionalFormattings>
        <x14:conditionalFormatting xmlns:xm="http://schemas.microsoft.com/office/excel/2006/main">
          <x14:cfRule type="containsText" priority="69" operator="containsText" id="{7DB23750-B504-47DA-B2B1-2C56A9F532AC}">
            <xm:f>NOT(ISERROR(SEARCH("C",H4)))</xm:f>
            <xm:f>"C"</xm:f>
            <x14:dxf>
              <fill>
                <patternFill>
                  <bgColor rgb="FF00B0F0"/>
                </patternFill>
              </fill>
            </x14:dxf>
          </x14:cfRule>
          <xm:sqref>H4:H36 H38:H52</xm:sqref>
        </x14:conditionalFormatting>
        <x14:conditionalFormatting xmlns:xm="http://schemas.microsoft.com/office/excel/2006/main">
          <x14:cfRule type="containsText" priority="45" operator="containsText" id="{DBE717B4-59EB-4BB6-BCEB-2AA6C4C400D2}">
            <xm:f>NOT(ISERROR(SEARCH("C",H53)))</xm:f>
            <xm:f>"C"</xm:f>
            <x14:dxf>
              <fill>
                <patternFill>
                  <bgColor rgb="FF00B0F0"/>
                </patternFill>
              </fill>
            </x14:dxf>
          </x14:cfRule>
          <xm:sqref>H53</xm:sqref>
        </x14:conditionalFormatting>
        <x14:conditionalFormatting xmlns:xm="http://schemas.microsoft.com/office/excel/2006/main">
          <x14:cfRule type="containsText" priority="39" operator="containsText" id="{137DFF68-9200-4CA1-8054-7EE975E5D693}">
            <xm:f>NOT(ISERROR(SEARCH("C",H37)))</xm:f>
            <xm:f>"C"</xm:f>
            <x14:dxf>
              <fill>
                <patternFill>
                  <bgColor rgb="FF00B0F0"/>
                </patternFill>
              </fill>
            </x14:dxf>
          </x14:cfRule>
          <xm:sqref>H37</xm:sqref>
        </x14:conditionalFormatting>
        <x14:conditionalFormatting xmlns:xm="http://schemas.microsoft.com/office/excel/2006/main">
          <x14:cfRule type="containsText" priority="36" operator="containsText" id="{875FF534-6A6A-44EA-B2AC-7E75C7E1935A}">
            <xm:f>NOT(ISERROR(SEARCH("C",H54)))</xm:f>
            <xm:f>"C"</xm:f>
            <x14:dxf>
              <fill>
                <patternFill>
                  <bgColor rgb="FF00B0F0"/>
                </patternFill>
              </fill>
            </x14:dxf>
          </x14:cfRule>
          <xm:sqref>H54:H63</xm:sqref>
        </x14:conditionalFormatting>
        <x14:conditionalFormatting xmlns:xm="http://schemas.microsoft.com/office/excel/2006/main">
          <x14:cfRule type="containsText" priority="27" operator="containsText" id="{97643500-765B-4F2B-B3FC-4BD90BBBAB06}">
            <xm:f>NOT(ISERROR(SEARCH("C",H64)))</xm:f>
            <xm:f>"C"</xm:f>
            <x14:dxf>
              <fill>
                <patternFill>
                  <bgColor rgb="FF00B0F0"/>
                </patternFill>
              </fill>
            </x14:dxf>
          </x14:cfRule>
          <xm:sqref>H64</xm:sqref>
        </x14:conditionalFormatting>
        <x14:conditionalFormatting xmlns:xm="http://schemas.microsoft.com/office/excel/2006/main">
          <x14:cfRule type="containsText" priority="24" operator="containsText" id="{FC4DB07C-0394-4EF4-BC37-7C62B306F9D8}">
            <xm:f>NOT(ISERROR(SEARCH("C",H66)))</xm:f>
            <xm:f>"C"</xm:f>
            <x14:dxf>
              <fill>
                <patternFill>
                  <bgColor rgb="FF00B0F0"/>
                </patternFill>
              </fill>
            </x14:dxf>
          </x14:cfRule>
          <xm:sqref>H66</xm:sqref>
        </x14:conditionalFormatting>
        <x14:conditionalFormatting xmlns:xm="http://schemas.microsoft.com/office/excel/2006/main">
          <x14:cfRule type="containsText" priority="21" operator="containsText" id="{E189F027-E448-4705-B30D-6E41179ADF51}">
            <xm:f>NOT(ISERROR(SEARCH("C",H65)))</xm:f>
            <xm:f>"C"</xm:f>
            <x14:dxf>
              <fill>
                <patternFill>
                  <bgColor rgb="FF00B0F0"/>
                </patternFill>
              </fill>
            </x14:dxf>
          </x14:cfRule>
          <xm:sqref>H65</xm:sqref>
        </x14:conditionalFormatting>
        <x14:conditionalFormatting xmlns:xm="http://schemas.microsoft.com/office/excel/2006/main">
          <x14:cfRule type="containsText" priority="18" operator="containsText" id="{3A3BF85A-3E47-4A76-96F7-F74F5C4D3667}">
            <xm:f>NOT(ISERROR(SEARCH("C",H67)))</xm:f>
            <xm:f>"C"</xm:f>
            <x14:dxf>
              <fill>
                <patternFill>
                  <bgColor rgb="FF00B0F0"/>
                </patternFill>
              </fill>
            </x14:dxf>
          </x14:cfRule>
          <xm:sqref>H67</xm:sqref>
        </x14:conditionalFormatting>
        <x14:conditionalFormatting xmlns:xm="http://schemas.microsoft.com/office/excel/2006/main">
          <x14:cfRule type="containsText" priority="15" operator="containsText" id="{141D7041-1FEA-4F42-AE28-A0D5B9849A08}">
            <xm:f>NOT(ISERROR(SEARCH("C",H68)))</xm:f>
            <xm:f>"C"</xm:f>
            <x14:dxf>
              <fill>
                <patternFill>
                  <bgColor rgb="FF00B0F0"/>
                </patternFill>
              </fill>
            </x14:dxf>
          </x14:cfRule>
          <xm:sqref>H68</xm:sqref>
        </x14:conditionalFormatting>
        <x14:conditionalFormatting xmlns:xm="http://schemas.microsoft.com/office/excel/2006/main">
          <x14:cfRule type="containsText" priority="12" operator="containsText" id="{83B1E2BE-40E2-441B-87CB-276F7BEC5B4A}">
            <xm:f>NOT(ISERROR(SEARCH("C",H69)))</xm:f>
            <xm:f>"C"</xm:f>
            <x14:dxf>
              <fill>
                <patternFill>
                  <bgColor rgb="FF00B0F0"/>
                </patternFill>
              </fill>
            </x14:dxf>
          </x14:cfRule>
          <xm:sqref>H69</xm:sqref>
        </x14:conditionalFormatting>
        <x14:conditionalFormatting xmlns:xm="http://schemas.microsoft.com/office/excel/2006/main">
          <x14:cfRule type="containsText" priority="9" operator="containsText" id="{4543A631-5260-4F6E-8CD5-E74B2C5CE250}">
            <xm:f>NOT(ISERROR(SEARCH("C",H70)))</xm:f>
            <xm:f>"C"</xm:f>
            <x14:dxf>
              <fill>
                <patternFill>
                  <bgColor rgb="FF00B0F0"/>
                </patternFill>
              </fill>
            </x14:dxf>
          </x14:cfRule>
          <xm:sqref>H70</xm:sqref>
        </x14:conditionalFormatting>
        <x14:conditionalFormatting xmlns:xm="http://schemas.microsoft.com/office/excel/2006/main">
          <x14:cfRule type="containsText" priority="6" operator="containsText" id="{AE106DA3-6390-4824-89DC-1ED136270142}">
            <xm:f>NOT(ISERROR(SEARCH("C",H71)))</xm:f>
            <xm:f>"C"</xm:f>
            <x14:dxf>
              <fill>
                <patternFill>
                  <bgColor rgb="FF00B0F0"/>
                </patternFill>
              </fill>
            </x14:dxf>
          </x14:cfRule>
          <xm:sqref>H71:H82</xm:sqref>
        </x14:conditionalFormatting>
        <x14:conditionalFormatting xmlns:xm="http://schemas.microsoft.com/office/excel/2006/main">
          <x14:cfRule type="containsText" priority="3" operator="containsText" id="{F3FB7E30-E80E-48DE-B57A-E0FB7E97FD40}">
            <xm:f>NOT(ISERROR(SEARCH("C",H83)))</xm:f>
            <xm:f>"C"</xm:f>
            <x14:dxf>
              <fill>
                <patternFill>
                  <bgColor rgb="FF00B0F0"/>
                </patternFill>
              </fill>
            </x14:dxf>
          </x14:cfRule>
          <xm:sqref>H83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2"/>
  <sheetViews>
    <sheetView workbookViewId="0">
      <selection activeCell="T25" sqref="T25"/>
    </sheetView>
  </sheetViews>
  <sheetFormatPr defaultRowHeight="12.75"/>
  <cols>
    <col min="1" max="1" width="13.85546875" bestFit="1" customWidth="1"/>
    <col min="2" max="2" width="17" customWidth="1"/>
    <col min="3" max="3" width="3" customWidth="1"/>
    <col min="4" max="4" width="11.7109375" bestFit="1" customWidth="1"/>
  </cols>
  <sheetData>
    <row r="1" spans="1:4">
      <c r="A1" s="1026" t="s">
        <v>13</v>
      </c>
      <c r="B1" t="s">
        <v>421</v>
      </c>
    </row>
    <row r="2" spans="1:4">
      <c r="A2" s="1026" t="s">
        <v>408</v>
      </c>
      <c r="B2" t="s">
        <v>421</v>
      </c>
    </row>
    <row r="4" spans="1:4">
      <c r="A4" s="1026" t="s">
        <v>420</v>
      </c>
      <c r="B4" s="1026" t="s">
        <v>422</v>
      </c>
    </row>
    <row r="5" spans="1:4">
      <c r="A5" s="1026" t="s">
        <v>418</v>
      </c>
      <c r="B5" t="s">
        <v>397</v>
      </c>
      <c r="C5" t="s">
        <v>407</v>
      </c>
      <c r="D5" t="s">
        <v>419</v>
      </c>
    </row>
    <row r="6" spans="1:4">
      <c r="A6" s="1027">
        <v>47</v>
      </c>
      <c r="B6" s="1025">
        <v>4</v>
      </c>
      <c r="C6" s="1025"/>
      <c r="D6" s="1025">
        <v>4</v>
      </c>
    </row>
    <row r="7" spans="1:4">
      <c r="A7" s="1027">
        <v>48</v>
      </c>
      <c r="B7" s="1025">
        <v>5</v>
      </c>
      <c r="C7" s="1025">
        <v>5</v>
      </c>
      <c r="D7" s="1025">
        <v>10</v>
      </c>
    </row>
    <row r="8" spans="1:4">
      <c r="A8" s="1027">
        <v>49</v>
      </c>
      <c r="B8" s="1025">
        <v>4</v>
      </c>
      <c r="C8" s="1025">
        <v>4</v>
      </c>
      <c r="D8" s="1025">
        <v>8</v>
      </c>
    </row>
    <row r="9" spans="1:4">
      <c r="A9" s="1027">
        <v>50</v>
      </c>
      <c r="B9" s="1025">
        <v>3</v>
      </c>
      <c r="C9" s="1025">
        <v>6</v>
      </c>
      <c r="D9" s="1025">
        <v>9</v>
      </c>
    </row>
    <row r="10" spans="1:4">
      <c r="A10" s="1027">
        <v>51</v>
      </c>
      <c r="B10" s="1025">
        <v>1</v>
      </c>
      <c r="C10" s="1025"/>
      <c r="D10" s="1025">
        <v>1</v>
      </c>
    </row>
    <row r="11" spans="1:4">
      <c r="A11" s="1027">
        <v>52</v>
      </c>
      <c r="B11" s="1025">
        <v>2</v>
      </c>
      <c r="C11" s="1025">
        <v>2</v>
      </c>
      <c r="D11" s="1025">
        <v>4</v>
      </c>
    </row>
    <row r="12" spans="1:4">
      <c r="A12" s="1027" t="s">
        <v>419</v>
      </c>
      <c r="B12" s="1025">
        <v>19</v>
      </c>
      <c r="C12" s="1025">
        <v>17</v>
      </c>
      <c r="D12" s="1025">
        <v>36</v>
      </c>
    </row>
  </sheetData>
  <phoneticPr fontId="9"/>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ikesCount xmlns="http://schemas.microsoft.com/sharepoint/v3" xsi:nil="true"/>
    <LikedBy xmlns="http://schemas.microsoft.com/sharepoint/v3">
      <UserInfo>
        <DisplayName/>
        <AccountId xsi:nil="true"/>
        <AccountType/>
      </UserInfo>
    </LikedBy>
    <TaxCatchAll xmlns="b8f978fa-576d-4b56-b5b3-03ad98dadbab"/>
    <_dlc_DocId xmlns="b8f978fa-576d-4b56-b5b3-03ad98dadbab">P01S032548-1170414311-167</_dlc_DocId>
    <_dlc_DocIdUrl xmlns="b8f978fa-576d-4b56-b5b3-03ad98dadbab">
      <Url>https://sites.inside-share.bosch.com/sites/032548/_layouts/15/DocIdRedir.aspx?ID=P01S032548-1170414311-167</Url>
      <Description>P01S032548-1170414311-167</Description>
    </_dlc_DocIdUrl>
    <eff25f2363f040279542874e93bd9239 xmlns="b8f978fa-576d-4b56-b5b3-03ad98dadbab">
      <Terms xmlns="http://schemas.microsoft.com/office/infopath/2007/PartnerControls"/>
    </eff25f2363f040279542874e93bd9239>
  </documentManagement>
</p:properties>
</file>

<file path=customXml/item2.xml><?xml version="1.0" encoding="utf-8"?>
<ct:contentTypeSchema xmlns:ct="http://schemas.microsoft.com/office/2006/metadata/contentType" xmlns:ma="http://schemas.microsoft.com/office/2006/metadata/properties/metaAttributes" ct:_="" ma:_="" ma:contentTypeName="Bosch Document" ma:contentTypeID="0x010100B4446A32DE91B44CB88BF9E6CA9DFAF6000872E77DAA8D5A47B276E06650D6AA1B" ma:contentTypeVersion="3" ma:contentTypeDescription="Create a new document." ma:contentTypeScope="" ma:versionID="94df9724e0d8a7f012b4a7d8b17d00d5">
  <xsd:schema xmlns:xsd="http://www.w3.org/2001/XMLSchema" xmlns:xs="http://www.w3.org/2001/XMLSchema" xmlns:p="http://schemas.microsoft.com/office/2006/metadata/properties" xmlns:ns1="http://schemas.microsoft.com/sharepoint/v3" xmlns:ns2="b8f978fa-576d-4b56-b5b3-03ad98dadbab" targetNamespace="http://schemas.microsoft.com/office/2006/metadata/properties" ma:root="true" ma:fieldsID="eea350909ab26b1e933c25e463a1ebe3" ns1:_="" ns2:_="">
    <xsd:import namespace="http://schemas.microsoft.com/sharepoint/v3"/>
    <xsd:import namespace="b8f978fa-576d-4b56-b5b3-03ad98dadbab"/>
    <xsd:element name="properties">
      <xsd:complexType>
        <xsd:sequence>
          <xsd:element name="documentManagement">
            <xsd:complexType>
              <xsd:all>
                <xsd:element ref="ns2:_dlc_DocId" minOccurs="0"/>
                <xsd:element ref="ns2:_dlc_DocIdUrl" minOccurs="0"/>
                <xsd:element ref="ns2:_dlc_DocIdPersistId" minOccurs="0"/>
                <xsd:element ref="ns2:eff25f2363f040279542874e93bd9239" minOccurs="0"/>
                <xsd:element ref="ns2:TaxCatchAll" minOccurs="0"/>
                <xsd:element ref="ns2:TaxCatchAllLabel" minOccurs="0"/>
                <xsd:element ref="ns1:LikesCount" minOccurs="0"/>
                <xsd:element ref="ns1:LikedB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ikesCount" ma:index="15" nillable="true" ma:displayName="Number of Likes" ma:internalName="LikesCount">
      <xsd:simpleType>
        <xsd:restriction base="dms:Unknown"/>
      </xsd:simpleType>
    </xsd:element>
    <xsd:element name="LikedBy" ma:index="16"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8f978fa-576d-4b56-b5b3-03ad98dadbab"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eff25f2363f040279542874e93bd9239" ma:index="11" nillable="true" ma:taxonomy="true" ma:internalName="eff25f2363f040279542874e93bd9239" ma:taxonomyFieldName="DMSKeywords" ma:displayName="Keywords" ma:fieldId="{eff25f23-63f0-4027-9542-874e93bd9239}" ma:sspId="b81b984e-7d9a-4f77-a40b-67f8485df2c3" ma:termSetId="e07110fb-d14a-4f53-91ce-047492c55e8e"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11c2d0f4-3f9b-42eb-a829-ad8a03aa8ef9}" ma:internalName="TaxCatchAll" ma:showField="CatchAllData" ma:web="b8f978fa-576d-4b56-b5b3-03ad98dadbab">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11c2d0f4-3f9b-42eb-a829-ad8a03aa8ef9}" ma:internalName="TaxCatchAllLabel" ma:readOnly="true" ma:showField="CatchAllDataLabel" ma:web="b8f978fa-576d-4b56-b5b3-03ad98dadb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3E8D6F51-DBA9-43D8-87A2-E422980E8648}">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8f978fa-576d-4b56-b5b3-03ad98dadbab"/>
    <ds:schemaRef ds:uri="http://www.w3.org/XML/1998/namespace"/>
    <ds:schemaRef ds:uri="http://purl.org/dc/dcmitype/"/>
  </ds:schemaRefs>
</ds:datastoreItem>
</file>

<file path=customXml/itemProps2.xml><?xml version="1.0" encoding="utf-8"?>
<ds:datastoreItem xmlns:ds="http://schemas.openxmlformats.org/officeDocument/2006/customXml" ds:itemID="{0EF890FA-F879-4711-93DB-42C03B16AD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8f978fa-576d-4b56-b5b3-03ad98dadb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6090E1-AB30-47F5-94D8-52F5BDC9ED65}">
  <ds:schemaRefs>
    <ds:schemaRef ds:uri="http://schemas.microsoft.com/sharepoint/v3/contenttype/forms"/>
  </ds:schemaRefs>
</ds:datastoreItem>
</file>

<file path=customXml/itemProps4.xml><?xml version="1.0" encoding="utf-8"?>
<ds:datastoreItem xmlns:ds="http://schemas.openxmlformats.org/officeDocument/2006/customXml" ds:itemID="{430DFB58-E737-423D-82B1-1545E2446211}">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MFC</vt:lpstr>
      <vt:lpstr>RBJP</vt:lpstr>
      <vt:lpstr>On-time graph</vt:lpstr>
      <vt:lpstr>Format_Milestone</vt:lpstr>
      <vt:lpstr>Format_Nr</vt:lpstr>
      <vt:lpstr>MFC!Print_Area</vt:lpstr>
      <vt:lpstr>RBJP!Print_Area</vt:lpstr>
      <vt:lpstr>MFC!Print_Titles</vt:lpstr>
      <vt:lpstr>RBJP!Print_Titles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Zundert Adri (GS-CT/MFC)</dc:creator>
  <cp:keywords/>
  <dc:description/>
  <cp:lastModifiedBy>Ho Anh Dung (RBVH/ETI1)</cp:lastModifiedBy>
  <cp:lastPrinted>2017-09-05T07:47:21Z</cp:lastPrinted>
  <dcterms:created xsi:type="dcterms:W3CDTF">2017-06-11T16:33:56Z</dcterms:created>
  <dcterms:modified xsi:type="dcterms:W3CDTF">2018-03-20T10:23:15Z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0x010100B4446A32DE91B44CB88BF9E6CA9DFAF6000872E77DAA8D5A47B276E06650D6AA1B</vt:lpwstr>
  </property>
  <property fmtid="{D5CDD505-2E9C-101B-9397-08002B2CF9AE}" pid="3" name="_dlc_DocIdItemGuid">
    <vt:lpwstr>fd77d7df-711c-4211-86ff-142254d853fd</vt:lpwstr>
  </property>
  <property fmtid="{D5CDD505-2E9C-101B-9397-08002B2CF9AE}" pid="4" name="DMSKeywords">
    <vt:lpwstr/>
  </property>
</Properties>
</file>